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"/>
    </mc:Choice>
  </mc:AlternateContent>
  <xr:revisionPtr revIDLastSave="0" documentId="13_ncr:1_{F52F95F3-E1C9-453F-AF15-AFA3FAE20C92}" xr6:coauthVersionLast="47" xr6:coauthVersionMax="47" xr10:uidLastSave="{00000000-0000-0000-0000-000000000000}"/>
  <bookViews>
    <workbookView xWindow="-120" yWindow="-120" windowWidth="20730" windowHeight="11040" xr2:uid="{543AE3FB-2E5E-4544-BFD7-ED56BB3C677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0" i="1" l="1"/>
  <c r="S47" i="1"/>
  <c r="Y45" i="1"/>
  <c r="S44" i="1"/>
  <c r="P44" i="1" s="1"/>
  <c r="M44" i="1"/>
  <c r="S43" i="1"/>
  <c r="P43" i="1"/>
  <c r="J43" i="1"/>
  <c r="M43" i="1" s="1"/>
  <c r="S42" i="1"/>
  <c r="P42" i="1"/>
  <c r="J42" i="1"/>
  <c r="M42" i="1" s="1"/>
  <c r="S41" i="1"/>
  <c r="P41" i="1"/>
  <c r="M41" i="1"/>
  <c r="S40" i="1"/>
  <c r="P40" i="1" s="1"/>
  <c r="M40" i="1"/>
  <c r="S39" i="1"/>
  <c r="P39" i="1"/>
  <c r="M39" i="1"/>
  <c r="S38" i="1"/>
  <c r="P38" i="1" s="1"/>
  <c r="J38" i="1"/>
  <c r="M38" i="1" s="1"/>
  <c r="S37" i="1"/>
  <c r="P37" i="1" s="1"/>
  <c r="M37" i="1"/>
  <c r="J37" i="1"/>
  <c r="S36" i="1"/>
  <c r="P36" i="1" s="1"/>
  <c r="M36" i="1"/>
  <c r="J36" i="1"/>
  <c r="S35" i="1"/>
  <c r="P35" i="1" s="1"/>
  <c r="M35" i="1"/>
  <c r="J35" i="1"/>
  <c r="S34" i="1"/>
  <c r="P34" i="1" s="1"/>
  <c r="J34" i="1"/>
  <c r="M34" i="1" s="1"/>
  <c r="S33" i="1"/>
  <c r="P33" i="1" s="1"/>
  <c r="J33" i="1"/>
  <c r="M33" i="1" s="1"/>
  <c r="S32" i="1"/>
  <c r="P32" i="1" s="1"/>
  <c r="J32" i="1"/>
  <c r="M32" i="1" s="1"/>
  <c r="S31" i="1"/>
  <c r="P31" i="1" s="1"/>
  <c r="M31" i="1"/>
  <c r="S30" i="1"/>
  <c r="P30" i="1"/>
  <c r="M30" i="1"/>
  <c r="S29" i="1"/>
  <c r="P29" i="1" s="1"/>
  <c r="M29" i="1"/>
  <c r="S28" i="1"/>
  <c r="P28" i="1"/>
  <c r="J28" i="1"/>
  <c r="M28" i="1" s="1"/>
  <c r="I28" i="1"/>
  <c r="G28" i="1"/>
  <c r="G47" i="1" s="1"/>
  <c r="S27" i="1"/>
  <c r="P27" i="1"/>
  <c r="J27" i="1"/>
  <c r="M27" i="1" s="1"/>
  <c r="S26" i="1"/>
  <c r="P26" i="1"/>
  <c r="J26" i="1"/>
  <c r="M26" i="1" s="1"/>
  <c r="S25" i="1"/>
  <c r="P25" i="1"/>
  <c r="M25" i="1"/>
  <c r="S24" i="1"/>
  <c r="P24" i="1" s="1"/>
  <c r="M24" i="1"/>
  <c r="J24" i="1"/>
  <c r="S23" i="1"/>
  <c r="P23" i="1" s="1"/>
  <c r="M23" i="1"/>
  <c r="S22" i="1"/>
  <c r="P22" i="1"/>
  <c r="M22" i="1"/>
  <c r="S21" i="1"/>
  <c r="P21" i="1" s="1"/>
  <c r="M21" i="1"/>
  <c r="J21" i="1"/>
  <c r="E47" i="1"/>
  <c r="M47" i="1" l="1"/>
  <c r="J47" i="1"/>
</calcChain>
</file>

<file path=xl/sharedStrings.xml><?xml version="1.0" encoding="utf-8"?>
<sst xmlns="http://schemas.openxmlformats.org/spreadsheetml/2006/main" count="180" uniqueCount="71">
  <si>
    <t>YOX JAYA TRADING</t>
  </si>
  <si>
    <t>PENGIRIM</t>
  </si>
  <si>
    <t>PENERIMA</t>
  </si>
  <si>
    <t>Nama</t>
  </si>
  <si>
    <t>:</t>
  </si>
  <si>
    <t>NPWP</t>
  </si>
  <si>
    <t>TIN</t>
  </si>
  <si>
    <t>Alamat</t>
  </si>
  <si>
    <t>ID</t>
  </si>
  <si>
    <t>TIMOR-LESTE</t>
  </si>
  <si>
    <t>TL</t>
  </si>
  <si>
    <t>INVOICE DAN PACKING LIST</t>
  </si>
  <si>
    <t>Nomor Invoice</t>
  </si>
  <si>
    <t>Tanggal Invoice</t>
  </si>
  <si>
    <t>NO</t>
  </si>
  <si>
    <t>JENIS BARANG</t>
  </si>
  <si>
    <t>TOTAL</t>
  </si>
  <si>
    <t>QUANTITY</t>
  </si>
  <si>
    <t>BERAT</t>
  </si>
  <si>
    <t>TOTAL BERAT</t>
  </si>
  <si>
    <t>HARGA</t>
  </si>
  <si>
    <t xml:space="preserve">TOTAL  </t>
  </si>
  <si>
    <t>SATUAN</t>
  </si>
  <si>
    <t>KOTOR</t>
  </si>
  <si>
    <t>BERSIH</t>
  </si>
  <si>
    <t>SATUAN (USD)</t>
  </si>
  <si>
    <t>HARGA (USD)</t>
  </si>
  <si>
    <t>TOTAL HARGA</t>
  </si>
  <si>
    <t>PIRING BULAT CAMEL 09</t>
  </si>
  <si>
    <t>PCE</t>
  </si>
  <si>
    <t>CT</t>
  </si>
  <si>
    <t>KG</t>
  </si>
  <si>
    <t>WIJAYA TOPLES 30L</t>
  </si>
  <si>
    <t>SENDOK PUTIH SONE</t>
  </si>
  <si>
    <t>KOMPOR HOCK 10 SUMBU</t>
  </si>
  <si>
    <t>KOMPOR HOCK 16 SUMBU</t>
  </si>
  <si>
    <t>KOMPOR HOCK 30 SUMBU</t>
  </si>
  <si>
    <t>KIREI CANGKIR KRISTY</t>
  </si>
  <si>
    <t>COBEK 18 + ULEG MUTHU</t>
  </si>
  <si>
    <t>WAJAN CEPER 16</t>
  </si>
  <si>
    <t>WAJAN CEPER 18</t>
  </si>
  <si>
    <t>WAJAN CEPER 20</t>
  </si>
  <si>
    <t>WAJAN CEPER 22</t>
  </si>
  <si>
    <t>WAJAN CEPER 24</t>
  </si>
  <si>
    <t>MEJA CEMBUNG LINGHI (NOMIXING)</t>
  </si>
  <si>
    <t>MEJA PERSEGI LINGHI</t>
  </si>
  <si>
    <t>KURSI NAPOLLT TCC</t>
  </si>
  <si>
    <t>KURSI SANTAI NAPOLLY 211</t>
  </si>
  <si>
    <t>LENGSER 30 NN</t>
  </si>
  <si>
    <t>BOLONI 006 K SPIDER UK. 27-30</t>
  </si>
  <si>
    <t>BOLONI PREMIO VENCI UK. 37-40</t>
  </si>
  <si>
    <t>TONG BALA 150L + TUTUP</t>
  </si>
  <si>
    <t>TIKAR UNTA</t>
  </si>
  <si>
    <t>AYUNAN PER 2</t>
  </si>
  <si>
    <t>J U M L A H</t>
  </si>
  <si>
    <t>PK</t>
  </si>
  <si>
    <t>(-----)</t>
  </si>
  <si>
    <t xml:space="preserve">       Mengetahui,</t>
  </si>
  <si>
    <t>MULIA JAYA</t>
  </si>
  <si>
    <t>77.900.541.7-622.000</t>
  </si>
  <si>
    <t>PERGUDANGAN MONDAY, G, 27,</t>
  </si>
  <si>
    <t>MAULAFA, MAULAFA, KOTA KUPANG,</t>
  </si>
  <si>
    <t>NUSA TENGGARA TIMUR, 54678</t>
  </si>
  <si>
    <t>YOVITA LESTARI INDAH</t>
  </si>
  <si>
    <t>FOMENTO IIX, COMORO, DOM ALEIXO, DILI,</t>
  </si>
  <si>
    <t>XXX/III/089/2026</t>
  </si>
  <si>
    <t>26-01-2025</t>
  </si>
  <si>
    <t>L 8095 PK</t>
  </si>
  <si>
    <t>KURS HARI INI 26-01-2025</t>
  </si>
  <si>
    <t>KUPANG,</t>
  </si>
  <si>
    <t xml:space="preserve">      MULIA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</si>
</sst>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[$Rp-3809]* #,##0.00_-;\-[$Rp-3809]* #,##0.00_-;_-[$Rp-3809]* &quot;-&quot;??_-;_-@_-"/>
    <numFmt numFmtId="165" formatCode="_-[$Rp-421]* #,##0.00_-;\-[$Rp-421]* #,##0.00_-;_-[$Rp-421]* &quot;-&quot;??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9" formatCode="0.0000"/>
    <numFmt numFmtId="170" formatCode="_-[$$-409]* #,##0.000_ ;_-[$$-409]* \-#,##0.000\ ;_-[$$-409]* &quot;-&quot;???_ ;_-@_ "/>
    <numFmt numFmtId="171" formatCode="0.000"/>
    <numFmt numFmtId="172" formatCode="#,##0.000"/>
    <numFmt numFmtId="173" formatCode="_(* #,##0_);_(* \(#,##0\);_(* &quot;-&quot;??_);_(@_)"/>
  </numFmts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name val="Arial Narrow"/>
      <family val="2"/>
    </font>
    <font>
      <sz val="11"/>
      <name val="Arial Narrow"/>
      <family val="2"/>
    </font>
    <font>
      <sz val="9"/>
      <name val="Arial Narrow"/>
      <family val="2"/>
    </font>
    <font>
      <b/>
      <sz val="11"/>
      <name val="Arial Narrow"/>
      <family val="2"/>
    </font>
    <font>
      <sz val="8"/>
      <name val="Arial Narrow"/>
      <family val="2"/>
    </font>
    <font>
      <b/>
      <sz val="9"/>
      <name val="Arial Narrow"/>
      <family val="2"/>
    </font>
    <font>
      <b/>
      <u/>
      <sz val="9"/>
      <name val="Arial Narrow"/>
      <family val="2"/>
    </font>
    <font>
      <u/>
      <sz val="9"/>
      <name val="Arial Narrow"/>
      <family val="2"/>
    </font>
    <font>
      <b/>
      <u/>
      <sz val="10"/>
      <name val="Arial Narrow"/>
      <family val="2"/>
    </font>
    <font>
      <b/>
      <sz val="10"/>
      <name val="Arial Narrow"/>
      <family val="2"/>
    </font>
    <font>
      <b/>
      <sz val="18"/>
      <name val="Arial Narrow"/>
      <family val="2"/>
    </font>
    <font>
      <b/>
      <sz val="14"/>
      <name val="Arial Narrow"/>
      <family val="2"/>
    </font>
    <font>
      <b/>
      <sz val="8"/>
      <name val="Arial Narrow"/>
      <family val="2"/>
    </font>
    <font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EF3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44" fontId="4" fillId="0" borderId="0" xfId="2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3" xfId="0" quotePrefix="1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4" fillId="0" borderId="0" xfId="2" applyNumberFormat="1" applyFont="1" applyBorder="1" applyAlignment="1">
      <alignment horizontal="left" vertical="center"/>
    </xf>
    <xf numFmtId="44" fontId="4" fillId="2" borderId="0" xfId="2" applyFont="1" applyFill="1" applyBorder="1" applyAlignment="1" applyProtection="1">
      <alignment horizontal="left" vertical="center"/>
      <protection locked="0" hidden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" fontId="6" fillId="0" borderId="11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164" fontId="4" fillId="0" borderId="0" xfId="2" applyNumberFormat="1" applyFont="1" applyBorder="1" applyAlignment="1">
      <alignment vertical="center"/>
    </xf>
    <xf numFmtId="44" fontId="4" fillId="0" borderId="0" xfId="2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2" borderId="16" xfId="0" applyFont="1" applyFill="1" applyBorder="1" applyAlignment="1" applyProtection="1">
      <alignment horizontal="left" vertical="center"/>
      <protection locked="0" hidden="1"/>
    </xf>
    <xf numFmtId="3" fontId="4" fillId="0" borderId="14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2" fontId="4" fillId="0" borderId="15" xfId="1" applyNumberFormat="1" applyFont="1" applyBorder="1" applyAlignment="1">
      <alignment horizontal="center" vertical="center" wrapText="1"/>
    </xf>
    <xf numFmtId="4" fontId="4" fillId="0" borderId="14" xfId="0" applyNumberFormat="1" applyFont="1" applyBorder="1" applyAlignment="1">
      <alignment horizontal="center" vertical="center" wrapText="1"/>
    </xf>
    <xf numFmtId="169" fontId="4" fillId="0" borderId="15" xfId="1" applyNumberFormat="1" applyFont="1" applyFill="1" applyBorder="1" applyAlignment="1">
      <alignment horizontal="center" vertical="center"/>
    </xf>
    <xf numFmtId="169" fontId="4" fillId="0" borderId="17" xfId="1" applyNumberFormat="1" applyFont="1" applyFill="1" applyBorder="1" applyAlignment="1">
      <alignment horizontal="center" vertical="center"/>
    </xf>
    <xf numFmtId="4" fontId="4" fillId="3" borderId="14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70" fontId="4" fillId="2" borderId="15" xfId="2" applyNumberFormat="1" applyFont="1" applyFill="1" applyBorder="1" applyAlignment="1">
      <alignment vertical="center"/>
    </xf>
    <xf numFmtId="170" fontId="4" fillId="2" borderId="16" xfId="2" applyNumberFormat="1" applyFont="1" applyFill="1" applyBorder="1" applyAlignment="1">
      <alignment vertical="center"/>
    </xf>
    <xf numFmtId="170" fontId="7" fillId="0" borderId="15" xfId="0" applyNumberFormat="1" applyFont="1" applyBorder="1" applyAlignment="1">
      <alignment horizontal="center" vertical="center"/>
    </xf>
    <xf numFmtId="170" fontId="7" fillId="0" borderId="16" xfId="0" applyNumberFormat="1" applyFont="1" applyBorder="1" applyAlignment="1">
      <alignment horizontal="center" vertical="center"/>
    </xf>
    <xf numFmtId="170" fontId="7" fillId="0" borderId="17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4" fillId="2" borderId="0" xfId="2" applyNumberFormat="1" applyFont="1" applyFill="1" applyBorder="1" applyAlignment="1">
      <alignment vertical="center"/>
    </xf>
    <xf numFmtId="166" fontId="4" fillId="0" borderId="0" xfId="0" applyNumberFormat="1" applyFont="1" applyAlignment="1">
      <alignment horizontal="center" vertical="center" wrapText="1"/>
    </xf>
    <xf numFmtId="4" fontId="4" fillId="2" borderId="0" xfId="2" applyNumberFormat="1" applyFont="1" applyFill="1" applyBorder="1" applyAlignment="1">
      <alignment horizontal="center" vertical="center"/>
    </xf>
    <xf numFmtId="164" fontId="0" fillId="0" borderId="0" xfId="0" applyNumberFormat="1"/>
    <xf numFmtId="44" fontId="4" fillId="0" borderId="0" xfId="2" applyFont="1" applyBorder="1" applyAlignment="1">
      <alignment horizontal="left" vertical="center"/>
    </xf>
    <xf numFmtId="0" fontId="4" fillId="2" borderId="0" xfId="0" applyFont="1" applyFill="1" applyAlignment="1" applyProtection="1">
      <alignment horizontal="left" vertical="center"/>
      <protection locked="0" hidden="1"/>
    </xf>
    <xf numFmtId="171" fontId="4" fillId="0" borderId="15" xfId="1" applyNumberFormat="1" applyFont="1" applyBorder="1" applyAlignment="1">
      <alignment horizontal="center" vertical="center" wrapText="1"/>
    </xf>
    <xf numFmtId="4" fontId="4" fillId="4" borderId="0" xfId="0" applyNumberFormat="1" applyFont="1" applyFill="1" applyAlignment="1">
      <alignment vertical="center"/>
    </xf>
    <xf numFmtId="172" fontId="4" fillId="0" borderId="15" xfId="0" applyNumberFormat="1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 applyProtection="1">
      <alignment horizontal="left" vertical="center"/>
      <protection locked="0" hidden="1"/>
    </xf>
    <xf numFmtId="3" fontId="4" fillId="3" borderId="14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4" fontId="4" fillId="3" borderId="15" xfId="0" applyNumberFormat="1" applyFont="1" applyFill="1" applyBorder="1" applyAlignment="1">
      <alignment horizontal="center" vertical="center" wrapText="1"/>
    </xf>
    <xf numFmtId="169" fontId="4" fillId="3" borderId="15" xfId="1" applyNumberFormat="1" applyFont="1" applyFill="1" applyBorder="1" applyAlignment="1">
      <alignment horizontal="center" vertical="center"/>
    </xf>
    <xf numFmtId="169" fontId="4" fillId="3" borderId="17" xfId="1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70" fontId="4" fillId="3" borderId="15" xfId="2" applyNumberFormat="1" applyFont="1" applyFill="1" applyBorder="1" applyAlignment="1">
      <alignment vertical="center"/>
    </xf>
    <xf numFmtId="170" fontId="4" fillId="3" borderId="16" xfId="2" applyNumberFormat="1" applyFont="1" applyFill="1" applyBorder="1" applyAlignment="1">
      <alignment vertical="center"/>
    </xf>
    <xf numFmtId="170" fontId="7" fillId="3" borderId="15" xfId="0" applyNumberFormat="1" applyFont="1" applyFill="1" applyBorder="1" applyAlignment="1">
      <alignment horizontal="center" vertical="center"/>
    </xf>
    <xf numFmtId="170" fontId="7" fillId="3" borderId="16" xfId="0" applyNumberFormat="1" applyFont="1" applyFill="1" applyBorder="1" applyAlignment="1">
      <alignment horizontal="center" vertical="center"/>
    </xf>
    <xf numFmtId="170" fontId="7" fillId="3" borderId="17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4" fontId="4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horizontal="center" vertical="center" wrapText="1"/>
    </xf>
    <xf numFmtId="164" fontId="4" fillId="3" borderId="0" xfId="2" applyNumberFormat="1" applyFont="1" applyFill="1" applyBorder="1" applyAlignment="1">
      <alignment vertical="center"/>
    </xf>
    <xf numFmtId="166" fontId="4" fillId="3" borderId="0" xfId="0" applyNumberFormat="1" applyFont="1" applyFill="1" applyAlignment="1">
      <alignment horizontal="center" vertical="center" wrapText="1"/>
    </xf>
    <xf numFmtId="4" fontId="4" fillId="3" borderId="0" xfId="2" applyNumberFormat="1" applyFont="1" applyFill="1" applyBorder="1" applyAlignment="1">
      <alignment horizontal="center" vertical="center"/>
    </xf>
    <xf numFmtId="164" fontId="0" fillId="3" borderId="0" xfId="0" applyNumberFormat="1" applyFill="1"/>
    <xf numFmtId="44" fontId="4" fillId="3" borderId="0" xfId="2" applyFont="1" applyFill="1" applyBorder="1" applyAlignment="1">
      <alignment horizontal="left" vertical="center"/>
    </xf>
    <xf numFmtId="0" fontId="4" fillId="3" borderId="0" xfId="0" applyFont="1" applyFill="1" applyAlignment="1" applyProtection="1">
      <alignment horizontal="left" vertical="center"/>
      <protection locked="0" hidden="1"/>
    </xf>
    <xf numFmtId="44" fontId="4" fillId="3" borderId="0" xfId="2" applyFont="1" applyFill="1" applyBorder="1" applyAlignment="1" applyProtection="1">
      <alignment horizontal="left" vertical="center"/>
      <protection locked="0" hidden="1"/>
    </xf>
    <xf numFmtId="0" fontId="4" fillId="3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170" fontId="7" fillId="0" borderId="14" xfId="0" applyNumberFormat="1" applyFont="1" applyBorder="1" applyAlignment="1">
      <alignment horizontal="center" vertical="center"/>
    </xf>
    <xf numFmtId="172" fontId="4" fillId="4" borderId="0" xfId="0" applyNumberFormat="1" applyFont="1" applyFill="1" applyAlignment="1">
      <alignment vertical="center"/>
    </xf>
    <xf numFmtId="0" fontId="4" fillId="3" borderId="15" xfId="0" applyFont="1" applyFill="1" applyBorder="1" applyAlignment="1" applyProtection="1">
      <alignment horizontal="left" vertical="center"/>
      <protection locked="0" hidden="1"/>
    </xf>
    <xf numFmtId="0" fontId="15" fillId="3" borderId="15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4" fontId="4" fillId="0" borderId="15" xfId="0" applyNumberFormat="1" applyFont="1" applyBorder="1" applyAlignment="1">
      <alignment horizontal="center" vertical="center" wrapText="1"/>
    </xf>
    <xf numFmtId="169" fontId="4" fillId="3" borderId="15" xfId="1" applyNumberFormat="1" applyFont="1" applyFill="1" applyBorder="1" applyAlignment="1">
      <alignment horizontal="center" vertical="center"/>
    </xf>
    <xf numFmtId="169" fontId="4" fillId="3" borderId="17" xfId="1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70" fontId="4" fillId="2" borderId="15" xfId="2" applyNumberFormat="1" applyFont="1" applyFill="1" applyBorder="1" applyAlignment="1">
      <alignment vertical="center"/>
    </xf>
    <xf numFmtId="170" fontId="4" fillId="2" borderId="16" xfId="2" applyNumberFormat="1" applyFont="1" applyFill="1" applyBorder="1" applyAlignment="1">
      <alignment vertical="center"/>
    </xf>
    <xf numFmtId="0" fontId="4" fillId="2" borderId="15" xfId="0" applyFont="1" applyFill="1" applyBorder="1" applyAlignment="1" applyProtection="1">
      <alignment horizontal="left" vertical="center"/>
      <protection locked="0" hidden="1"/>
    </xf>
    <xf numFmtId="0" fontId="15" fillId="2" borderId="16" xfId="0" applyFont="1" applyFill="1" applyBorder="1" applyAlignment="1" applyProtection="1">
      <alignment horizontal="left" vertical="center"/>
      <protection locked="0" hidden="1"/>
    </xf>
    <xf numFmtId="170" fontId="7" fillId="0" borderId="18" xfId="0" applyNumberFormat="1" applyFont="1" applyBorder="1" applyAlignment="1">
      <alignment horizontal="center" vertical="center"/>
    </xf>
    <xf numFmtId="170" fontId="7" fillId="0" borderId="19" xfId="0" applyNumberFormat="1" applyFont="1" applyBorder="1" applyAlignment="1">
      <alignment horizontal="center" vertical="center"/>
    </xf>
    <xf numFmtId="170" fontId="7" fillId="0" borderId="20" xfId="0" applyNumberFormat="1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3" fontId="7" fillId="2" borderId="8" xfId="1" quotePrefix="1" applyNumberFormat="1" applyFont="1" applyFill="1" applyBorder="1" applyAlignment="1">
      <alignment horizontal="center" vertical="center"/>
    </xf>
    <xf numFmtId="173" fontId="7" fillId="2" borderId="8" xfId="1" applyNumberFormat="1" applyFont="1" applyFill="1" applyBorder="1" applyAlignment="1">
      <alignment horizontal="center" vertical="center"/>
    </xf>
    <xf numFmtId="3" fontId="7" fillId="2" borderId="8" xfId="1" applyNumberFormat="1" applyFont="1" applyFill="1" applyBorder="1" applyAlignment="1">
      <alignment horizontal="center" vertical="center"/>
    </xf>
    <xf numFmtId="169" fontId="4" fillId="2" borderId="8" xfId="0" quotePrefix="1" applyNumberFormat="1" applyFont="1" applyFill="1" applyBorder="1" applyAlignment="1">
      <alignment horizontal="center" vertical="center"/>
    </xf>
    <xf numFmtId="4" fontId="7" fillId="2" borderId="22" xfId="0" applyNumberFormat="1" applyFont="1" applyFill="1" applyBorder="1" applyAlignment="1">
      <alignment horizontal="center" vertical="center"/>
    </xf>
    <xf numFmtId="169" fontId="7" fillId="2" borderId="4" xfId="0" applyNumberFormat="1" applyFont="1" applyFill="1" applyBorder="1" applyAlignment="1">
      <alignment horizontal="center" vertical="center"/>
    </xf>
    <xf numFmtId="169" fontId="7" fillId="2" borderId="5" xfId="0" applyNumberFormat="1" applyFont="1" applyFill="1" applyBorder="1" applyAlignment="1">
      <alignment horizontal="center" vertical="center"/>
    </xf>
    <xf numFmtId="170" fontId="4" fillId="2" borderId="4" xfId="1" quotePrefix="1" applyNumberFormat="1" applyFont="1" applyFill="1" applyBorder="1" applyAlignment="1">
      <alignment horizontal="center" vertical="center"/>
    </xf>
    <xf numFmtId="170" fontId="4" fillId="2" borderId="3" xfId="1" quotePrefix="1" applyNumberFormat="1" applyFont="1" applyFill="1" applyBorder="1" applyAlignment="1">
      <alignment horizontal="center" vertical="center"/>
    </xf>
    <xf numFmtId="170" fontId="7" fillId="2" borderId="23" xfId="1" applyNumberFormat="1" applyFont="1" applyFill="1" applyBorder="1" applyAlignment="1">
      <alignment horizontal="center" vertical="center"/>
    </xf>
    <xf numFmtId="170" fontId="7" fillId="2" borderId="3" xfId="1" applyNumberFormat="1" applyFont="1" applyFill="1" applyBorder="1" applyAlignment="1">
      <alignment horizontal="center" vertical="center"/>
    </xf>
    <xf numFmtId="170" fontId="7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166" fontId="4" fillId="2" borderId="0" xfId="0" applyNumberFormat="1" applyFont="1" applyFill="1" applyAlignment="1">
      <alignment vertical="center"/>
    </xf>
    <xf numFmtId="4" fontId="4" fillId="2" borderId="0" xfId="0" applyNumberFormat="1" applyFont="1" applyFill="1" applyAlignment="1">
      <alignment vertical="center"/>
    </xf>
    <xf numFmtId="164" fontId="4" fillId="2" borderId="0" xfId="2" applyNumberFormat="1" applyFont="1" applyFill="1" applyAlignment="1">
      <alignment vertical="center"/>
    </xf>
    <xf numFmtId="167" fontId="4" fillId="2" borderId="0" xfId="0" applyNumberFormat="1" applyFont="1" applyFill="1" applyAlignment="1">
      <alignment vertical="center"/>
    </xf>
    <xf numFmtId="44" fontId="4" fillId="2" borderId="0" xfId="2" applyFont="1" applyFill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3" fontId="7" fillId="2" borderId="9" xfId="1" quotePrefix="1" applyNumberFormat="1" applyFont="1" applyFill="1" applyBorder="1" applyAlignment="1">
      <alignment horizontal="center" vertical="center"/>
    </xf>
    <xf numFmtId="173" fontId="7" fillId="2" borderId="9" xfId="1" applyNumberFormat="1" applyFont="1" applyFill="1" applyBorder="1" applyAlignment="1">
      <alignment horizontal="center" vertical="center"/>
    </xf>
    <xf numFmtId="3" fontId="7" fillId="2" borderId="9" xfId="1" applyNumberFormat="1" applyFont="1" applyFill="1" applyBorder="1" applyAlignment="1">
      <alignment horizontal="center" vertical="center"/>
    </xf>
    <xf numFmtId="169" fontId="4" fillId="2" borderId="9" xfId="0" quotePrefix="1" applyNumberFormat="1" applyFont="1" applyFill="1" applyBorder="1" applyAlignment="1">
      <alignment horizontal="center" vertical="center"/>
    </xf>
    <xf numFmtId="4" fontId="7" fillId="2" borderId="9" xfId="0" applyNumberFormat="1" applyFont="1" applyFill="1" applyBorder="1" applyAlignment="1">
      <alignment horizontal="center" vertical="center"/>
    </xf>
    <xf numFmtId="169" fontId="7" fillId="2" borderId="6" xfId="0" applyNumberFormat="1" applyFont="1" applyFill="1" applyBorder="1" applyAlignment="1">
      <alignment horizontal="center" vertical="center"/>
    </xf>
    <xf numFmtId="169" fontId="7" fillId="2" borderId="7" xfId="0" applyNumberFormat="1" applyFont="1" applyFill="1" applyBorder="1" applyAlignment="1">
      <alignment horizontal="center" vertical="center"/>
    </xf>
    <xf numFmtId="170" fontId="4" fillId="2" borderId="6" xfId="1" quotePrefix="1" applyNumberFormat="1" applyFont="1" applyFill="1" applyBorder="1" applyAlignment="1">
      <alignment horizontal="center" vertical="center"/>
    </xf>
    <xf numFmtId="170" fontId="4" fillId="2" borderId="2" xfId="1" quotePrefix="1" applyNumberFormat="1" applyFont="1" applyFill="1" applyBorder="1" applyAlignment="1">
      <alignment horizontal="center" vertical="center"/>
    </xf>
    <xf numFmtId="170" fontId="7" fillId="2" borderId="24" xfId="1" applyNumberFormat="1" applyFont="1" applyFill="1" applyBorder="1" applyAlignment="1">
      <alignment horizontal="center" vertical="center"/>
    </xf>
    <xf numFmtId="170" fontId="7" fillId="2" borderId="2" xfId="1" applyNumberFormat="1" applyFont="1" applyFill="1" applyBorder="1" applyAlignment="1">
      <alignment horizontal="center" vertical="center"/>
    </xf>
    <xf numFmtId="170" fontId="7" fillId="2" borderId="7" xfId="1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vertical="center"/>
    </xf>
    <xf numFmtId="173" fontId="4" fillId="0" borderId="0" xfId="1" applyNumberFormat="1" applyFont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173" fontId="4" fillId="0" borderId="0" xfId="0" applyNumberFormat="1" applyFont="1" applyAlignment="1">
      <alignment vertical="center"/>
    </xf>
  </cellXfs>
  <cellStyles count="3">
    <cellStyle name="Koma" xfId="1" builtinId="3"/>
    <cellStyle name="Mata Uang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133350</xdr:colOff>
      <xdr:row>47</xdr:row>
      <xdr:rowOff>133350</xdr:rowOff>
    </xdr:from>
    <xdr:to>
      <xdr:col>20</xdr:col>
      <xdr:colOff>295275</xdr:colOff>
      <xdr:row>58</xdr:row>
      <xdr:rowOff>95250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19ECBF4B-8820-42E0-B584-9684B889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14563725"/>
          <a:ext cx="17716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8DDD-37CD-49E2-9F29-4316BEB189C0}">
  <dimension ref="A1:AG566"/>
  <sheetViews>
    <sheetView tabSelected="1" topLeftCell="A37" workbookViewId="0">
      <selection activeCell="J30" sqref="J30"/>
    </sheetView>
  </sheetViews>
  <sheetFormatPr defaultRowHeight="13.5" x14ac:dyDescent="0.25"/>
  <cols>
    <col min="1" max="1" width="3.7109375" style="22" customWidth="1"/>
    <col min="2" max="2" width="5.5703125" style="22" customWidth="1"/>
    <col min="3" max="3" width="9.85546875" style="22" customWidth="1"/>
    <col min="4" max="4" width="33" style="3" customWidth="1"/>
    <col min="5" max="5" width="8" style="3" bestFit="1" customWidth="1"/>
    <col min="6" max="6" width="4.140625" style="3" customWidth="1"/>
    <col min="7" max="7" width="5.42578125" style="186" bestFit="1" customWidth="1"/>
    <col min="8" max="8" width="3.7109375" style="3" customWidth="1"/>
    <col min="9" max="9" width="6.85546875" style="3" bestFit="1" customWidth="1"/>
    <col min="10" max="10" width="9.140625" style="30"/>
    <col min="11" max="12" width="2" style="3" customWidth="1"/>
    <col min="13" max="13" width="8.140625" style="31" customWidth="1"/>
    <col min="14" max="15" width="2" style="3" customWidth="1"/>
    <col min="16" max="16" width="2.85546875" style="3" customWidth="1"/>
    <col min="17" max="17" width="1.28515625" style="3" customWidth="1"/>
    <col min="18" max="18" width="11.7109375" style="3" customWidth="1"/>
    <col min="19" max="19" width="4.42578125" style="3" customWidth="1"/>
    <col min="20" max="20" width="8" style="3" customWidth="1"/>
    <col min="21" max="21" width="4.85546875" style="3" customWidth="1"/>
    <col min="22" max="22" width="0.140625" style="3" hidden="1" customWidth="1"/>
    <col min="23" max="23" width="15.85546875" style="3" bestFit="1" customWidth="1"/>
    <col min="24" max="24" width="9.140625" style="4"/>
    <col min="25" max="25" width="15.42578125" style="5" bestFit="1" customWidth="1"/>
    <col min="26" max="26" width="19.7109375" style="6" bestFit="1" customWidth="1"/>
    <col min="27" max="27" width="16.5703125" style="7" bestFit="1" customWidth="1"/>
    <col min="28" max="28" width="13.42578125" style="4" bestFit="1" customWidth="1"/>
    <col min="29" max="29" width="16.28515625" style="8" bestFit="1" customWidth="1"/>
    <col min="30" max="30" width="15.5703125" style="9" bestFit="1" customWidth="1"/>
    <col min="31" max="31" width="9.140625" style="3"/>
    <col min="32" max="32" width="9.140625" style="10"/>
    <col min="33" max="33" width="11.5703125" style="3" bestFit="1" customWidth="1"/>
    <col min="34" max="256" width="9.140625" style="3"/>
    <col min="257" max="257" width="3.7109375" style="3" customWidth="1"/>
    <col min="258" max="258" width="5.5703125" style="3" customWidth="1"/>
    <col min="259" max="259" width="9.85546875" style="3" customWidth="1"/>
    <col min="260" max="260" width="33" style="3" customWidth="1"/>
    <col min="261" max="261" width="8" style="3" bestFit="1" customWidth="1"/>
    <col min="262" max="262" width="4.140625" style="3" customWidth="1"/>
    <col min="263" max="263" width="5.42578125" style="3" bestFit="1" customWidth="1"/>
    <col min="264" max="264" width="3.7109375" style="3" customWidth="1"/>
    <col min="265" max="265" width="6.85546875" style="3" bestFit="1" customWidth="1"/>
    <col min="266" max="266" width="9.140625" style="3"/>
    <col min="267" max="268" width="2" style="3" customWidth="1"/>
    <col min="269" max="269" width="8.140625" style="3" customWidth="1"/>
    <col min="270" max="271" width="2" style="3" customWidth="1"/>
    <col min="272" max="272" width="2.85546875" style="3" customWidth="1"/>
    <col min="273" max="273" width="1.28515625" style="3" customWidth="1"/>
    <col min="274" max="274" width="11.7109375" style="3" customWidth="1"/>
    <col min="275" max="275" width="4.42578125" style="3" customWidth="1"/>
    <col min="276" max="276" width="8" style="3" customWidth="1"/>
    <col min="277" max="277" width="4.85546875" style="3" customWidth="1"/>
    <col min="278" max="278" width="0" style="3" hidden="1" customWidth="1"/>
    <col min="279" max="279" width="15.85546875" style="3" bestFit="1" customWidth="1"/>
    <col min="280" max="280" width="9.140625" style="3"/>
    <col min="281" max="281" width="15.42578125" style="3" bestFit="1" customWidth="1"/>
    <col min="282" max="282" width="19.7109375" style="3" bestFit="1" customWidth="1"/>
    <col min="283" max="283" width="16.5703125" style="3" bestFit="1" customWidth="1"/>
    <col min="284" max="284" width="13.42578125" style="3" bestFit="1" customWidth="1"/>
    <col min="285" max="285" width="16.28515625" style="3" bestFit="1" customWidth="1"/>
    <col min="286" max="286" width="15.5703125" style="3" bestFit="1" customWidth="1"/>
    <col min="287" max="288" width="9.140625" style="3"/>
    <col min="289" max="289" width="11.5703125" style="3" bestFit="1" customWidth="1"/>
    <col min="290" max="512" width="9.140625" style="3"/>
    <col min="513" max="513" width="3.7109375" style="3" customWidth="1"/>
    <col min="514" max="514" width="5.5703125" style="3" customWidth="1"/>
    <col min="515" max="515" width="9.85546875" style="3" customWidth="1"/>
    <col min="516" max="516" width="33" style="3" customWidth="1"/>
    <col min="517" max="517" width="8" style="3" bestFit="1" customWidth="1"/>
    <col min="518" max="518" width="4.140625" style="3" customWidth="1"/>
    <col min="519" max="519" width="5.42578125" style="3" bestFit="1" customWidth="1"/>
    <col min="520" max="520" width="3.7109375" style="3" customWidth="1"/>
    <col min="521" max="521" width="6.85546875" style="3" bestFit="1" customWidth="1"/>
    <col min="522" max="522" width="9.140625" style="3"/>
    <col min="523" max="524" width="2" style="3" customWidth="1"/>
    <col min="525" max="525" width="8.140625" style="3" customWidth="1"/>
    <col min="526" max="527" width="2" style="3" customWidth="1"/>
    <col min="528" max="528" width="2.85546875" style="3" customWidth="1"/>
    <col min="529" max="529" width="1.28515625" style="3" customWidth="1"/>
    <col min="530" max="530" width="11.7109375" style="3" customWidth="1"/>
    <col min="531" max="531" width="4.42578125" style="3" customWidth="1"/>
    <col min="532" max="532" width="8" style="3" customWidth="1"/>
    <col min="533" max="533" width="4.85546875" style="3" customWidth="1"/>
    <col min="534" max="534" width="0" style="3" hidden="1" customWidth="1"/>
    <col min="535" max="535" width="15.85546875" style="3" bestFit="1" customWidth="1"/>
    <col min="536" max="536" width="9.140625" style="3"/>
    <col min="537" max="537" width="15.42578125" style="3" bestFit="1" customWidth="1"/>
    <col min="538" max="538" width="19.7109375" style="3" bestFit="1" customWidth="1"/>
    <col min="539" max="539" width="16.5703125" style="3" bestFit="1" customWidth="1"/>
    <col min="540" max="540" width="13.42578125" style="3" bestFit="1" customWidth="1"/>
    <col min="541" max="541" width="16.28515625" style="3" bestFit="1" customWidth="1"/>
    <col min="542" max="542" width="15.5703125" style="3" bestFit="1" customWidth="1"/>
    <col min="543" max="544" width="9.140625" style="3"/>
    <col min="545" max="545" width="11.5703125" style="3" bestFit="1" customWidth="1"/>
    <col min="546" max="768" width="9.140625" style="3"/>
    <col min="769" max="769" width="3.7109375" style="3" customWidth="1"/>
    <col min="770" max="770" width="5.5703125" style="3" customWidth="1"/>
    <col min="771" max="771" width="9.85546875" style="3" customWidth="1"/>
    <col min="772" max="772" width="33" style="3" customWidth="1"/>
    <col min="773" max="773" width="8" style="3" bestFit="1" customWidth="1"/>
    <col min="774" max="774" width="4.140625" style="3" customWidth="1"/>
    <col min="775" max="775" width="5.42578125" style="3" bestFit="1" customWidth="1"/>
    <col min="776" max="776" width="3.7109375" style="3" customWidth="1"/>
    <col min="777" max="777" width="6.85546875" style="3" bestFit="1" customWidth="1"/>
    <col min="778" max="778" width="9.140625" style="3"/>
    <col min="779" max="780" width="2" style="3" customWidth="1"/>
    <col min="781" max="781" width="8.140625" style="3" customWidth="1"/>
    <col min="782" max="783" width="2" style="3" customWidth="1"/>
    <col min="784" max="784" width="2.85546875" style="3" customWidth="1"/>
    <col min="785" max="785" width="1.28515625" style="3" customWidth="1"/>
    <col min="786" max="786" width="11.7109375" style="3" customWidth="1"/>
    <col min="787" max="787" width="4.42578125" style="3" customWidth="1"/>
    <col min="788" max="788" width="8" style="3" customWidth="1"/>
    <col min="789" max="789" width="4.85546875" style="3" customWidth="1"/>
    <col min="790" max="790" width="0" style="3" hidden="1" customWidth="1"/>
    <col min="791" max="791" width="15.85546875" style="3" bestFit="1" customWidth="1"/>
    <col min="792" max="792" width="9.140625" style="3"/>
    <col min="793" max="793" width="15.42578125" style="3" bestFit="1" customWidth="1"/>
    <col min="794" max="794" width="19.7109375" style="3" bestFit="1" customWidth="1"/>
    <col min="795" max="795" width="16.5703125" style="3" bestFit="1" customWidth="1"/>
    <col min="796" max="796" width="13.42578125" style="3" bestFit="1" customWidth="1"/>
    <col min="797" max="797" width="16.28515625" style="3" bestFit="1" customWidth="1"/>
    <col min="798" max="798" width="15.5703125" style="3" bestFit="1" customWidth="1"/>
    <col min="799" max="800" width="9.140625" style="3"/>
    <col min="801" max="801" width="11.5703125" style="3" bestFit="1" customWidth="1"/>
    <col min="802" max="1024" width="9.140625" style="3"/>
    <col min="1025" max="1025" width="3.7109375" style="3" customWidth="1"/>
    <col min="1026" max="1026" width="5.5703125" style="3" customWidth="1"/>
    <col min="1027" max="1027" width="9.85546875" style="3" customWidth="1"/>
    <col min="1028" max="1028" width="33" style="3" customWidth="1"/>
    <col min="1029" max="1029" width="8" style="3" bestFit="1" customWidth="1"/>
    <col min="1030" max="1030" width="4.140625" style="3" customWidth="1"/>
    <col min="1031" max="1031" width="5.42578125" style="3" bestFit="1" customWidth="1"/>
    <col min="1032" max="1032" width="3.7109375" style="3" customWidth="1"/>
    <col min="1033" max="1033" width="6.85546875" style="3" bestFit="1" customWidth="1"/>
    <col min="1034" max="1034" width="9.140625" style="3"/>
    <col min="1035" max="1036" width="2" style="3" customWidth="1"/>
    <col min="1037" max="1037" width="8.140625" style="3" customWidth="1"/>
    <col min="1038" max="1039" width="2" style="3" customWidth="1"/>
    <col min="1040" max="1040" width="2.85546875" style="3" customWidth="1"/>
    <col min="1041" max="1041" width="1.28515625" style="3" customWidth="1"/>
    <col min="1042" max="1042" width="11.7109375" style="3" customWidth="1"/>
    <col min="1043" max="1043" width="4.42578125" style="3" customWidth="1"/>
    <col min="1044" max="1044" width="8" style="3" customWidth="1"/>
    <col min="1045" max="1045" width="4.85546875" style="3" customWidth="1"/>
    <col min="1046" max="1046" width="0" style="3" hidden="1" customWidth="1"/>
    <col min="1047" max="1047" width="15.85546875" style="3" bestFit="1" customWidth="1"/>
    <col min="1048" max="1048" width="9.140625" style="3"/>
    <col min="1049" max="1049" width="15.42578125" style="3" bestFit="1" customWidth="1"/>
    <col min="1050" max="1050" width="19.7109375" style="3" bestFit="1" customWidth="1"/>
    <col min="1051" max="1051" width="16.5703125" style="3" bestFit="1" customWidth="1"/>
    <col min="1052" max="1052" width="13.42578125" style="3" bestFit="1" customWidth="1"/>
    <col min="1053" max="1053" width="16.28515625" style="3" bestFit="1" customWidth="1"/>
    <col min="1054" max="1054" width="15.5703125" style="3" bestFit="1" customWidth="1"/>
    <col min="1055" max="1056" width="9.140625" style="3"/>
    <col min="1057" max="1057" width="11.5703125" style="3" bestFit="1" customWidth="1"/>
    <col min="1058" max="1280" width="9.140625" style="3"/>
    <col min="1281" max="1281" width="3.7109375" style="3" customWidth="1"/>
    <col min="1282" max="1282" width="5.5703125" style="3" customWidth="1"/>
    <col min="1283" max="1283" width="9.85546875" style="3" customWidth="1"/>
    <col min="1284" max="1284" width="33" style="3" customWidth="1"/>
    <col min="1285" max="1285" width="8" style="3" bestFit="1" customWidth="1"/>
    <col min="1286" max="1286" width="4.140625" style="3" customWidth="1"/>
    <col min="1287" max="1287" width="5.42578125" style="3" bestFit="1" customWidth="1"/>
    <col min="1288" max="1288" width="3.7109375" style="3" customWidth="1"/>
    <col min="1289" max="1289" width="6.85546875" style="3" bestFit="1" customWidth="1"/>
    <col min="1290" max="1290" width="9.140625" style="3"/>
    <col min="1291" max="1292" width="2" style="3" customWidth="1"/>
    <col min="1293" max="1293" width="8.140625" style="3" customWidth="1"/>
    <col min="1294" max="1295" width="2" style="3" customWidth="1"/>
    <col min="1296" max="1296" width="2.85546875" style="3" customWidth="1"/>
    <col min="1297" max="1297" width="1.28515625" style="3" customWidth="1"/>
    <col min="1298" max="1298" width="11.7109375" style="3" customWidth="1"/>
    <col min="1299" max="1299" width="4.42578125" style="3" customWidth="1"/>
    <col min="1300" max="1300" width="8" style="3" customWidth="1"/>
    <col min="1301" max="1301" width="4.85546875" style="3" customWidth="1"/>
    <col min="1302" max="1302" width="0" style="3" hidden="1" customWidth="1"/>
    <col min="1303" max="1303" width="15.85546875" style="3" bestFit="1" customWidth="1"/>
    <col min="1304" max="1304" width="9.140625" style="3"/>
    <col min="1305" max="1305" width="15.42578125" style="3" bestFit="1" customWidth="1"/>
    <col min="1306" max="1306" width="19.7109375" style="3" bestFit="1" customWidth="1"/>
    <col min="1307" max="1307" width="16.5703125" style="3" bestFit="1" customWidth="1"/>
    <col min="1308" max="1308" width="13.42578125" style="3" bestFit="1" customWidth="1"/>
    <col min="1309" max="1309" width="16.28515625" style="3" bestFit="1" customWidth="1"/>
    <col min="1310" max="1310" width="15.5703125" style="3" bestFit="1" customWidth="1"/>
    <col min="1311" max="1312" width="9.140625" style="3"/>
    <col min="1313" max="1313" width="11.5703125" style="3" bestFit="1" customWidth="1"/>
    <col min="1314" max="1536" width="9.140625" style="3"/>
    <col min="1537" max="1537" width="3.7109375" style="3" customWidth="1"/>
    <col min="1538" max="1538" width="5.5703125" style="3" customWidth="1"/>
    <col min="1539" max="1539" width="9.85546875" style="3" customWidth="1"/>
    <col min="1540" max="1540" width="33" style="3" customWidth="1"/>
    <col min="1541" max="1541" width="8" style="3" bestFit="1" customWidth="1"/>
    <col min="1542" max="1542" width="4.140625" style="3" customWidth="1"/>
    <col min="1543" max="1543" width="5.42578125" style="3" bestFit="1" customWidth="1"/>
    <col min="1544" max="1544" width="3.7109375" style="3" customWidth="1"/>
    <col min="1545" max="1545" width="6.85546875" style="3" bestFit="1" customWidth="1"/>
    <col min="1546" max="1546" width="9.140625" style="3"/>
    <col min="1547" max="1548" width="2" style="3" customWidth="1"/>
    <col min="1549" max="1549" width="8.140625" style="3" customWidth="1"/>
    <col min="1550" max="1551" width="2" style="3" customWidth="1"/>
    <col min="1552" max="1552" width="2.85546875" style="3" customWidth="1"/>
    <col min="1553" max="1553" width="1.28515625" style="3" customWidth="1"/>
    <col min="1554" max="1554" width="11.7109375" style="3" customWidth="1"/>
    <col min="1555" max="1555" width="4.42578125" style="3" customWidth="1"/>
    <col min="1556" max="1556" width="8" style="3" customWidth="1"/>
    <col min="1557" max="1557" width="4.85546875" style="3" customWidth="1"/>
    <col min="1558" max="1558" width="0" style="3" hidden="1" customWidth="1"/>
    <col min="1559" max="1559" width="15.85546875" style="3" bestFit="1" customWidth="1"/>
    <col min="1560" max="1560" width="9.140625" style="3"/>
    <col min="1561" max="1561" width="15.42578125" style="3" bestFit="1" customWidth="1"/>
    <col min="1562" max="1562" width="19.7109375" style="3" bestFit="1" customWidth="1"/>
    <col min="1563" max="1563" width="16.5703125" style="3" bestFit="1" customWidth="1"/>
    <col min="1564" max="1564" width="13.42578125" style="3" bestFit="1" customWidth="1"/>
    <col min="1565" max="1565" width="16.28515625" style="3" bestFit="1" customWidth="1"/>
    <col min="1566" max="1566" width="15.5703125" style="3" bestFit="1" customWidth="1"/>
    <col min="1567" max="1568" width="9.140625" style="3"/>
    <col min="1569" max="1569" width="11.5703125" style="3" bestFit="1" customWidth="1"/>
    <col min="1570" max="1792" width="9.140625" style="3"/>
    <col min="1793" max="1793" width="3.7109375" style="3" customWidth="1"/>
    <col min="1794" max="1794" width="5.5703125" style="3" customWidth="1"/>
    <col min="1795" max="1795" width="9.85546875" style="3" customWidth="1"/>
    <col min="1796" max="1796" width="33" style="3" customWidth="1"/>
    <col min="1797" max="1797" width="8" style="3" bestFit="1" customWidth="1"/>
    <col min="1798" max="1798" width="4.140625" style="3" customWidth="1"/>
    <col min="1799" max="1799" width="5.42578125" style="3" bestFit="1" customWidth="1"/>
    <col min="1800" max="1800" width="3.7109375" style="3" customWidth="1"/>
    <col min="1801" max="1801" width="6.85546875" style="3" bestFit="1" customWidth="1"/>
    <col min="1802" max="1802" width="9.140625" style="3"/>
    <col min="1803" max="1804" width="2" style="3" customWidth="1"/>
    <col min="1805" max="1805" width="8.140625" style="3" customWidth="1"/>
    <col min="1806" max="1807" width="2" style="3" customWidth="1"/>
    <col min="1808" max="1808" width="2.85546875" style="3" customWidth="1"/>
    <col min="1809" max="1809" width="1.28515625" style="3" customWidth="1"/>
    <col min="1810" max="1810" width="11.7109375" style="3" customWidth="1"/>
    <col min="1811" max="1811" width="4.42578125" style="3" customWidth="1"/>
    <col min="1812" max="1812" width="8" style="3" customWidth="1"/>
    <col min="1813" max="1813" width="4.85546875" style="3" customWidth="1"/>
    <col min="1814" max="1814" width="0" style="3" hidden="1" customWidth="1"/>
    <col min="1815" max="1815" width="15.85546875" style="3" bestFit="1" customWidth="1"/>
    <col min="1816" max="1816" width="9.140625" style="3"/>
    <col min="1817" max="1817" width="15.42578125" style="3" bestFit="1" customWidth="1"/>
    <col min="1818" max="1818" width="19.7109375" style="3" bestFit="1" customWidth="1"/>
    <col min="1819" max="1819" width="16.5703125" style="3" bestFit="1" customWidth="1"/>
    <col min="1820" max="1820" width="13.42578125" style="3" bestFit="1" customWidth="1"/>
    <col min="1821" max="1821" width="16.28515625" style="3" bestFit="1" customWidth="1"/>
    <col min="1822" max="1822" width="15.5703125" style="3" bestFit="1" customWidth="1"/>
    <col min="1823" max="1824" width="9.140625" style="3"/>
    <col min="1825" max="1825" width="11.5703125" style="3" bestFit="1" customWidth="1"/>
    <col min="1826" max="2048" width="9.140625" style="3"/>
    <col min="2049" max="2049" width="3.7109375" style="3" customWidth="1"/>
    <col min="2050" max="2050" width="5.5703125" style="3" customWidth="1"/>
    <col min="2051" max="2051" width="9.85546875" style="3" customWidth="1"/>
    <col min="2052" max="2052" width="33" style="3" customWidth="1"/>
    <col min="2053" max="2053" width="8" style="3" bestFit="1" customWidth="1"/>
    <col min="2054" max="2054" width="4.140625" style="3" customWidth="1"/>
    <col min="2055" max="2055" width="5.42578125" style="3" bestFit="1" customWidth="1"/>
    <col min="2056" max="2056" width="3.7109375" style="3" customWidth="1"/>
    <col min="2057" max="2057" width="6.85546875" style="3" bestFit="1" customWidth="1"/>
    <col min="2058" max="2058" width="9.140625" style="3"/>
    <col min="2059" max="2060" width="2" style="3" customWidth="1"/>
    <col min="2061" max="2061" width="8.140625" style="3" customWidth="1"/>
    <col min="2062" max="2063" width="2" style="3" customWidth="1"/>
    <col min="2064" max="2064" width="2.85546875" style="3" customWidth="1"/>
    <col min="2065" max="2065" width="1.28515625" style="3" customWidth="1"/>
    <col min="2066" max="2066" width="11.7109375" style="3" customWidth="1"/>
    <col min="2067" max="2067" width="4.42578125" style="3" customWidth="1"/>
    <col min="2068" max="2068" width="8" style="3" customWidth="1"/>
    <col min="2069" max="2069" width="4.85546875" style="3" customWidth="1"/>
    <col min="2070" max="2070" width="0" style="3" hidden="1" customWidth="1"/>
    <col min="2071" max="2071" width="15.85546875" style="3" bestFit="1" customWidth="1"/>
    <col min="2072" max="2072" width="9.140625" style="3"/>
    <col min="2073" max="2073" width="15.42578125" style="3" bestFit="1" customWidth="1"/>
    <col min="2074" max="2074" width="19.7109375" style="3" bestFit="1" customWidth="1"/>
    <col min="2075" max="2075" width="16.5703125" style="3" bestFit="1" customWidth="1"/>
    <col min="2076" max="2076" width="13.42578125" style="3" bestFit="1" customWidth="1"/>
    <col min="2077" max="2077" width="16.28515625" style="3" bestFit="1" customWidth="1"/>
    <col min="2078" max="2078" width="15.5703125" style="3" bestFit="1" customWidth="1"/>
    <col min="2079" max="2080" width="9.140625" style="3"/>
    <col min="2081" max="2081" width="11.5703125" style="3" bestFit="1" customWidth="1"/>
    <col min="2082" max="2304" width="9.140625" style="3"/>
    <col min="2305" max="2305" width="3.7109375" style="3" customWidth="1"/>
    <col min="2306" max="2306" width="5.5703125" style="3" customWidth="1"/>
    <col min="2307" max="2307" width="9.85546875" style="3" customWidth="1"/>
    <col min="2308" max="2308" width="33" style="3" customWidth="1"/>
    <col min="2309" max="2309" width="8" style="3" bestFit="1" customWidth="1"/>
    <col min="2310" max="2310" width="4.140625" style="3" customWidth="1"/>
    <col min="2311" max="2311" width="5.42578125" style="3" bestFit="1" customWidth="1"/>
    <col min="2312" max="2312" width="3.7109375" style="3" customWidth="1"/>
    <col min="2313" max="2313" width="6.85546875" style="3" bestFit="1" customWidth="1"/>
    <col min="2314" max="2314" width="9.140625" style="3"/>
    <col min="2315" max="2316" width="2" style="3" customWidth="1"/>
    <col min="2317" max="2317" width="8.140625" style="3" customWidth="1"/>
    <col min="2318" max="2319" width="2" style="3" customWidth="1"/>
    <col min="2320" max="2320" width="2.85546875" style="3" customWidth="1"/>
    <col min="2321" max="2321" width="1.28515625" style="3" customWidth="1"/>
    <col min="2322" max="2322" width="11.7109375" style="3" customWidth="1"/>
    <col min="2323" max="2323" width="4.42578125" style="3" customWidth="1"/>
    <col min="2324" max="2324" width="8" style="3" customWidth="1"/>
    <col min="2325" max="2325" width="4.85546875" style="3" customWidth="1"/>
    <col min="2326" max="2326" width="0" style="3" hidden="1" customWidth="1"/>
    <col min="2327" max="2327" width="15.85546875" style="3" bestFit="1" customWidth="1"/>
    <col min="2328" max="2328" width="9.140625" style="3"/>
    <col min="2329" max="2329" width="15.42578125" style="3" bestFit="1" customWidth="1"/>
    <col min="2330" max="2330" width="19.7109375" style="3" bestFit="1" customWidth="1"/>
    <col min="2331" max="2331" width="16.5703125" style="3" bestFit="1" customWidth="1"/>
    <col min="2332" max="2332" width="13.42578125" style="3" bestFit="1" customWidth="1"/>
    <col min="2333" max="2333" width="16.28515625" style="3" bestFit="1" customWidth="1"/>
    <col min="2334" max="2334" width="15.5703125" style="3" bestFit="1" customWidth="1"/>
    <col min="2335" max="2336" width="9.140625" style="3"/>
    <col min="2337" max="2337" width="11.5703125" style="3" bestFit="1" customWidth="1"/>
    <col min="2338" max="2560" width="9.140625" style="3"/>
    <col min="2561" max="2561" width="3.7109375" style="3" customWidth="1"/>
    <col min="2562" max="2562" width="5.5703125" style="3" customWidth="1"/>
    <col min="2563" max="2563" width="9.85546875" style="3" customWidth="1"/>
    <col min="2564" max="2564" width="33" style="3" customWidth="1"/>
    <col min="2565" max="2565" width="8" style="3" bestFit="1" customWidth="1"/>
    <col min="2566" max="2566" width="4.140625" style="3" customWidth="1"/>
    <col min="2567" max="2567" width="5.42578125" style="3" bestFit="1" customWidth="1"/>
    <col min="2568" max="2568" width="3.7109375" style="3" customWidth="1"/>
    <col min="2569" max="2569" width="6.85546875" style="3" bestFit="1" customWidth="1"/>
    <col min="2570" max="2570" width="9.140625" style="3"/>
    <col min="2571" max="2572" width="2" style="3" customWidth="1"/>
    <col min="2573" max="2573" width="8.140625" style="3" customWidth="1"/>
    <col min="2574" max="2575" width="2" style="3" customWidth="1"/>
    <col min="2576" max="2576" width="2.85546875" style="3" customWidth="1"/>
    <col min="2577" max="2577" width="1.28515625" style="3" customWidth="1"/>
    <col min="2578" max="2578" width="11.7109375" style="3" customWidth="1"/>
    <col min="2579" max="2579" width="4.42578125" style="3" customWidth="1"/>
    <col min="2580" max="2580" width="8" style="3" customWidth="1"/>
    <col min="2581" max="2581" width="4.85546875" style="3" customWidth="1"/>
    <col min="2582" max="2582" width="0" style="3" hidden="1" customWidth="1"/>
    <col min="2583" max="2583" width="15.85546875" style="3" bestFit="1" customWidth="1"/>
    <col min="2584" max="2584" width="9.140625" style="3"/>
    <col min="2585" max="2585" width="15.42578125" style="3" bestFit="1" customWidth="1"/>
    <col min="2586" max="2586" width="19.7109375" style="3" bestFit="1" customWidth="1"/>
    <col min="2587" max="2587" width="16.5703125" style="3" bestFit="1" customWidth="1"/>
    <col min="2588" max="2588" width="13.42578125" style="3" bestFit="1" customWidth="1"/>
    <col min="2589" max="2589" width="16.28515625" style="3" bestFit="1" customWidth="1"/>
    <col min="2590" max="2590" width="15.5703125" style="3" bestFit="1" customWidth="1"/>
    <col min="2591" max="2592" width="9.140625" style="3"/>
    <col min="2593" max="2593" width="11.5703125" style="3" bestFit="1" customWidth="1"/>
    <col min="2594" max="2816" width="9.140625" style="3"/>
    <col min="2817" max="2817" width="3.7109375" style="3" customWidth="1"/>
    <col min="2818" max="2818" width="5.5703125" style="3" customWidth="1"/>
    <col min="2819" max="2819" width="9.85546875" style="3" customWidth="1"/>
    <col min="2820" max="2820" width="33" style="3" customWidth="1"/>
    <col min="2821" max="2821" width="8" style="3" bestFit="1" customWidth="1"/>
    <col min="2822" max="2822" width="4.140625" style="3" customWidth="1"/>
    <col min="2823" max="2823" width="5.42578125" style="3" bestFit="1" customWidth="1"/>
    <col min="2824" max="2824" width="3.7109375" style="3" customWidth="1"/>
    <col min="2825" max="2825" width="6.85546875" style="3" bestFit="1" customWidth="1"/>
    <col min="2826" max="2826" width="9.140625" style="3"/>
    <col min="2827" max="2828" width="2" style="3" customWidth="1"/>
    <col min="2829" max="2829" width="8.140625" style="3" customWidth="1"/>
    <col min="2830" max="2831" width="2" style="3" customWidth="1"/>
    <col min="2832" max="2832" width="2.85546875" style="3" customWidth="1"/>
    <col min="2833" max="2833" width="1.28515625" style="3" customWidth="1"/>
    <col min="2834" max="2834" width="11.7109375" style="3" customWidth="1"/>
    <col min="2835" max="2835" width="4.42578125" style="3" customWidth="1"/>
    <col min="2836" max="2836" width="8" style="3" customWidth="1"/>
    <col min="2837" max="2837" width="4.85546875" style="3" customWidth="1"/>
    <col min="2838" max="2838" width="0" style="3" hidden="1" customWidth="1"/>
    <col min="2839" max="2839" width="15.85546875" style="3" bestFit="1" customWidth="1"/>
    <col min="2840" max="2840" width="9.140625" style="3"/>
    <col min="2841" max="2841" width="15.42578125" style="3" bestFit="1" customWidth="1"/>
    <col min="2842" max="2842" width="19.7109375" style="3" bestFit="1" customWidth="1"/>
    <col min="2843" max="2843" width="16.5703125" style="3" bestFit="1" customWidth="1"/>
    <col min="2844" max="2844" width="13.42578125" style="3" bestFit="1" customWidth="1"/>
    <col min="2845" max="2845" width="16.28515625" style="3" bestFit="1" customWidth="1"/>
    <col min="2846" max="2846" width="15.5703125" style="3" bestFit="1" customWidth="1"/>
    <col min="2847" max="2848" width="9.140625" style="3"/>
    <col min="2849" max="2849" width="11.5703125" style="3" bestFit="1" customWidth="1"/>
    <col min="2850" max="3072" width="9.140625" style="3"/>
    <col min="3073" max="3073" width="3.7109375" style="3" customWidth="1"/>
    <col min="3074" max="3074" width="5.5703125" style="3" customWidth="1"/>
    <col min="3075" max="3075" width="9.85546875" style="3" customWidth="1"/>
    <col min="3076" max="3076" width="33" style="3" customWidth="1"/>
    <col min="3077" max="3077" width="8" style="3" bestFit="1" customWidth="1"/>
    <col min="3078" max="3078" width="4.140625" style="3" customWidth="1"/>
    <col min="3079" max="3079" width="5.42578125" style="3" bestFit="1" customWidth="1"/>
    <col min="3080" max="3080" width="3.7109375" style="3" customWidth="1"/>
    <col min="3081" max="3081" width="6.85546875" style="3" bestFit="1" customWidth="1"/>
    <col min="3082" max="3082" width="9.140625" style="3"/>
    <col min="3083" max="3084" width="2" style="3" customWidth="1"/>
    <col min="3085" max="3085" width="8.140625" style="3" customWidth="1"/>
    <col min="3086" max="3087" width="2" style="3" customWidth="1"/>
    <col min="3088" max="3088" width="2.85546875" style="3" customWidth="1"/>
    <col min="3089" max="3089" width="1.28515625" style="3" customWidth="1"/>
    <col min="3090" max="3090" width="11.7109375" style="3" customWidth="1"/>
    <col min="3091" max="3091" width="4.42578125" style="3" customWidth="1"/>
    <col min="3092" max="3092" width="8" style="3" customWidth="1"/>
    <col min="3093" max="3093" width="4.85546875" style="3" customWidth="1"/>
    <col min="3094" max="3094" width="0" style="3" hidden="1" customWidth="1"/>
    <col min="3095" max="3095" width="15.85546875" style="3" bestFit="1" customWidth="1"/>
    <col min="3096" max="3096" width="9.140625" style="3"/>
    <col min="3097" max="3097" width="15.42578125" style="3" bestFit="1" customWidth="1"/>
    <col min="3098" max="3098" width="19.7109375" style="3" bestFit="1" customWidth="1"/>
    <col min="3099" max="3099" width="16.5703125" style="3" bestFit="1" customWidth="1"/>
    <col min="3100" max="3100" width="13.42578125" style="3" bestFit="1" customWidth="1"/>
    <col min="3101" max="3101" width="16.28515625" style="3" bestFit="1" customWidth="1"/>
    <col min="3102" max="3102" width="15.5703125" style="3" bestFit="1" customWidth="1"/>
    <col min="3103" max="3104" width="9.140625" style="3"/>
    <col min="3105" max="3105" width="11.5703125" style="3" bestFit="1" customWidth="1"/>
    <col min="3106" max="3328" width="9.140625" style="3"/>
    <col min="3329" max="3329" width="3.7109375" style="3" customWidth="1"/>
    <col min="3330" max="3330" width="5.5703125" style="3" customWidth="1"/>
    <col min="3331" max="3331" width="9.85546875" style="3" customWidth="1"/>
    <col min="3332" max="3332" width="33" style="3" customWidth="1"/>
    <col min="3333" max="3333" width="8" style="3" bestFit="1" customWidth="1"/>
    <col min="3334" max="3334" width="4.140625" style="3" customWidth="1"/>
    <col min="3335" max="3335" width="5.42578125" style="3" bestFit="1" customWidth="1"/>
    <col min="3336" max="3336" width="3.7109375" style="3" customWidth="1"/>
    <col min="3337" max="3337" width="6.85546875" style="3" bestFit="1" customWidth="1"/>
    <col min="3338" max="3338" width="9.140625" style="3"/>
    <col min="3339" max="3340" width="2" style="3" customWidth="1"/>
    <col min="3341" max="3341" width="8.140625" style="3" customWidth="1"/>
    <col min="3342" max="3343" width="2" style="3" customWidth="1"/>
    <col min="3344" max="3344" width="2.85546875" style="3" customWidth="1"/>
    <col min="3345" max="3345" width="1.28515625" style="3" customWidth="1"/>
    <col min="3346" max="3346" width="11.7109375" style="3" customWidth="1"/>
    <col min="3347" max="3347" width="4.42578125" style="3" customWidth="1"/>
    <col min="3348" max="3348" width="8" style="3" customWidth="1"/>
    <col min="3349" max="3349" width="4.85546875" style="3" customWidth="1"/>
    <col min="3350" max="3350" width="0" style="3" hidden="1" customWidth="1"/>
    <col min="3351" max="3351" width="15.85546875" style="3" bestFit="1" customWidth="1"/>
    <col min="3352" max="3352" width="9.140625" style="3"/>
    <col min="3353" max="3353" width="15.42578125" style="3" bestFit="1" customWidth="1"/>
    <col min="3354" max="3354" width="19.7109375" style="3" bestFit="1" customWidth="1"/>
    <col min="3355" max="3355" width="16.5703125" style="3" bestFit="1" customWidth="1"/>
    <col min="3356" max="3356" width="13.42578125" style="3" bestFit="1" customWidth="1"/>
    <col min="3357" max="3357" width="16.28515625" style="3" bestFit="1" customWidth="1"/>
    <col min="3358" max="3358" width="15.5703125" style="3" bestFit="1" customWidth="1"/>
    <col min="3359" max="3360" width="9.140625" style="3"/>
    <col min="3361" max="3361" width="11.5703125" style="3" bestFit="1" customWidth="1"/>
    <col min="3362" max="3584" width="9.140625" style="3"/>
    <col min="3585" max="3585" width="3.7109375" style="3" customWidth="1"/>
    <col min="3586" max="3586" width="5.5703125" style="3" customWidth="1"/>
    <col min="3587" max="3587" width="9.85546875" style="3" customWidth="1"/>
    <col min="3588" max="3588" width="33" style="3" customWidth="1"/>
    <col min="3589" max="3589" width="8" style="3" bestFit="1" customWidth="1"/>
    <col min="3590" max="3590" width="4.140625" style="3" customWidth="1"/>
    <col min="3591" max="3591" width="5.42578125" style="3" bestFit="1" customWidth="1"/>
    <col min="3592" max="3592" width="3.7109375" style="3" customWidth="1"/>
    <col min="3593" max="3593" width="6.85546875" style="3" bestFit="1" customWidth="1"/>
    <col min="3594" max="3594" width="9.140625" style="3"/>
    <col min="3595" max="3596" width="2" style="3" customWidth="1"/>
    <col min="3597" max="3597" width="8.140625" style="3" customWidth="1"/>
    <col min="3598" max="3599" width="2" style="3" customWidth="1"/>
    <col min="3600" max="3600" width="2.85546875" style="3" customWidth="1"/>
    <col min="3601" max="3601" width="1.28515625" style="3" customWidth="1"/>
    <col min="3602" max="3602" width="11.7109375" style="3" customWidth="1"/>
    <col min="3603" max="3603" width="4.42578125" style="3" customWidth="1"/>
    <col min="3604" max="3604" width="8" style="3" customWidth="1"/>
    <col min="3605" max="3605" width="4.85546875" style="3" customWidth="1"/>
    <col min="3606" max="3606" width="0" style="3" hidden="1" customWidth="1"/>
    <col min="3607" max="3607" width="15.85546875" style="3" bestFit="1" customWidth="1"/>
    <col min="3608" max="3608" width="9.140625" style="3"/>
    <col min="3609" max="3609" width="15.42578125" style="3" bestFit="1" customWidth="1"/>
    <col min="3610" max="3610" width="19.7109375" style="3" bestFit="1" customWidth="1"/>
    <col min="3611" max="3611" width="16.5703125" style="3" bestFit="1" customWidth="1"/>
    <col min="3612" max="3612" width="13.42578125" style="3" bestFit="1" customWidth="1"/>
    <col min="3613" max="3613" width="16.28515625" style="3" bestFit="1" customWidth="1"/>
    <col min="3614" max="3614" width="15.5703125" style="3" bestFit="1" customWidth="1"/>
    <col min="3615" max="3616" width="9.140625" style="3"/>
    <col min="3617" max="3617" width="11.5703125" style="3" bestFit="1" customWidth="1"/>
    <col min="3618" max="3840" width="9.140625" style="3"/>
    <col min="3841" max="3841" width="3.7109375" style="3" customWidth="1"/>
    <col min="3842" max="3842" width="5.5703125" style="3" customWidth="1"/>
    <col min="3843" max="3843" width="9.85546875" style="3" customWidth="1"/>
    <col min="3844" max="3844" width="33" style="3" customWidth="1"/>
    <col min="3845" max="3845" width="8" style="3" bestFit="1" customWidth="1"/>
    <col min="3846" max="3846" width="4.140625" style="3" customWidth="1"/>
    <col min="3847" max="3847" width="5.42578125" style="3" bestFit="1" customWidth="1"/>
    <col min="3848" max="3848" width="3.7109375" style="3" customWidth="1"/>
    <col min="3849" max="3849" width="6.85546875" style="3" bestFit="1" customWidth="1"/>
    <col min="3850" max="3850" width="9.140625" style="3"/>
    <col min="3851" max="3852" width="2" style="3" customWidth="1"/>
    <col min="3853" max="3853" width="8.140625" style="3" customWidth="1"/>
    <col min="3854" max="3855" width="2" style="3" customWidth="1"/>
    <col min="3856" max="3856" width="2.85546875" style="3" customWidth="1"/>
    <col min="3857" max="3857" width="1.28515625" style="3" customWidth="1"/>
    <col min="3858" max="3858" width="11.7109375" style="3" customWidth="1"/>
    <col min="3859" max="3859" width="4.42578125" style="3" customWidth="1"/>
    <col min="3860" max="3860" width="8" style="3" customWidth="1"/>
    <col min="3861" max="3861" width="4.85546875" style="3" customWidth="1"/>
    <col min="3862" max="3862" width="0" style="3" hidden="1" customWidth="1"/>
    <col min="3863" max="3863" width="15.85546875" style="3" bestFit="1" customWidth="1"/>
    <col min="3864" max="3864" width="9.140625" style="3"/>
    <col min="3865" max="3865" width="15.42578125" style="3" bestFit="1" customWidth="1"/>
    <col min="3866" max="3866" width="19.7109375" style="3" bestFit="1" customWidth="1"/>
    <col min="3867" max="3867" width="16.5703125" style="3" bestFit="1" customWidth="1"/>
    <col min="3868" max="3868" width="13.42578125" style="3" bestFit="1" customWidth="1"/>
    <col min="3869" max="3869" width="16.28515625" style="3" bestFit="1" customWidth="1"/>
    <col min="3870" max="3870" width="15.5703125" style="3" bestFit="1" customWidth="1"/>
    <col min="3871" max="3872" width="9.140625" style="3"/>
    <col min="3873" max="3873" width="11.5703125" style="3" bestFit="1" customWidth="1"/>
    <col min="3874" max="4096" width="9.140625" style="3"/>
    <col min="4097" max="4097" width="3.7109375" style="3" customWidth="1"/>
    <col min="4098" max="4098" width="5.5703125" style="3" customWidth="1"/>
    <col min="4099" max="4099" width="9.85546875" style="3" customWidth="1"/>
    <col min="4100" max="4100" width="33" style="3" customWidth="1"/>
    <col min="4101" max="4101" width="8" style="3" bestFit="1" customWidth="1"/>
    <col min="4102" max="4102" width="4.140625" style="3" customWidth="1"/>
    <col min="4103" max="4103" width="5.42578125" style="3" bestFit="1" customWidth="1"/>
    <col min="4104" max="4104" width="3.7109375" style="3" customWidth="1"/>
    <col min="4105" max="4105" width="6.85546875" style="3" bestFit="1" customWidth="1"/>
    <col min="4106" max="4106" width="9.140625" style="3"/>
    <col min="4107" max="4108" width="2" style="3" customWidth="1"/>
    <col min="4109" max="4109" width="8.140625" style="3" customWidth="1"/>
    <col min="4110" max="4111" width="2" style="3" customWidth="1"/>
    <col min="4112" max="4112" width="2.85546875" style="3" customWidth="1"/>
    <col min="4113" max="4113" width="1.28515625" style="3" customWidth="1"/>
    <col min="4114" max="4114" width="11.7109375" style="3" customWidth="1"/>
    <col min="4115" max="4115" width="4.42578125" style="3" customWidth="1"/>
    <col min="4116" max="4116" width="8" style="3" customWidth="1"/>
    <col min="4117" max="4117" width="4.85546875" style="3" customWidth="1"/>
    <col min="4118" max="4118" width="0" style="3" hidden="1" customWidth="1"/>
    <col min="4119" max="4119" width="15.85546875" style="3" bestFit="1" customWidth="1"/>
    <col min="4120" max="4120" width="9.140625" style="3"/>
    <col min="4121" max="4121" width="15.42578125" style="3" bestFit="1" customWidth="1"/>
    <col min="4122" max="4122" width="19.7109375" style="3" bestFit="1" customWidth="1"/>
    <col min="4123" max="4123" width="16.5703125" style="3" bestFit="1" customWidth="1"/>
    <col min="4124" max="4124" width="13.42578125" style="3" bestFit="1" customWidth="1"/>
    <col min="4125" max="4125" width="16.28515625" style="3" bestFit="1" customWidth="1"/>
    <col min="4126" max="4126" width="15.5703125" style="3" bestFit="1" customWidth="1"/>
    <col min="4127" max="4128" width="9.140625" style="3"/>
    <col min="4129" max="4129" width="11.5703125" style="3" bestFit="1" customWidth="1"/>
    <col min="4130" max="4352" width="9.140625" style="3"/>
    <col min="4353" max="4353" width="3.7109375" style="3" customWidth="1"/>
    <col min="4354" max="4354" width="5.5703125" style="3" customWidth="1"/>
    <col min="4355" max="4355" width="9.85546875" style="3" customWidth="1"/>
    <col min="4356" max="4356" width="33" style="3" customWidth="1"/>
    <col min="4357" max="4357" width="8" style="3" bestFit="1" customWidth="1"/>
    <col min="4358" max="4358" width="4.140625" style="3" customWidth="1"/>
    <col min="4359" max="4359" width="5.42578125" style="3" bestFit="1" customWidth="1"/>
    <col min="4360" max="4360" width="3.7109375" style="3" customWidth="1"/>
    <col min="4361" max="4361" width="6.85546875" style="3" bestFit="1" customWidth="1"/>
    <col min="4362" max="4362" width="9.140625" style="3"/>
    <col min="4363" max="4364" width="2" style="3" customWidth="1"/>
    <col min="4365" max="4365" width="8.140625" style="3" customWidth="1"/>
    <col min="4366" max="4367" width="2" style="3" customWidth="1"/>
    <col min="4368" max="4368" width="2.85546875" style="3" customWidth="1"/>
    <col min="4369" max="4369" width="1.28515625" style="3" customWidth="1"/>
    <col min="4370" max="4370" width="11.7109375" style="3" customWidth="1"/>
    <col min="4371" max="4371" width="4.42578125" style="3" customWidth="1"/>
    <col min="4372" max="4372" width="8" style="3" customWidth="1"/>
    <col min="4373" max="4373" width="4.85546875" style="3" customWidth="1"/>
    <col min="4374" max="4374" width="0" style="3" hidden="1" customWidth="1"/>
    <col min="4375" max="4375" width="15.85546875" style="3" bestFit="1" customWidth="1"/>
    <col min="4376" max="4376" width="9.140625" style="3"/>
    <col min="4377" max="4377" width="15.42578125" style="3" bestFit="1" customWidth="1"/>
    <col min="4378" max="4378" width="19.7109375" style="3" bestFit="1" customWidth="1"/>
    <col min="4379" max="4379" width="16.5703125" style="3" bestFit="1" customWidth="1"/>
    <col min="4380" max="4380" width="13.42578125" style="3" bestFit="1" customWidth="1"/>
    <col min="4381" max="4381" width="16.28515625" style="3" bestFit="1" customWidth="1"/>
    <col min="4382" max="4382" width="15.5703125" style="3" bestFit="1" customWidth="1"/>
    <col min="4383" max="4384" width="9.140625" style="3"/>
    <col min="4385" max="4385" width="11.5703125" style="3" bestFit="1" customWidth="1"/>
    <col min="4386" max="4608" width="9.140625" style="3"/>
    <col min="4609" max="4609" width="3.7109375" style="3" customWidth="1"/>
    <col min="4610" max="4610" width="5.5703125" style="3" customWidth="1"/>
    <col min="4611" max="4611" width="9.85546875" style="3" customWidth="1"/>
    <col min="4612" max="4612" width="33" style="3" customWidth="1"/>
    <col min="4613" max="4613" width="8" style="3" bestFit="1" customWidth="1"/>
    <col min="4614" max="4614" width="4.140625" style="3" customWidth="1"/>
    <col min="4615" max="4615" width="5.42578125" style="3" bestFit="1" customWidth="1"/>
    <col min="4616" max="4616" width="3.7109375" style="3" customWidth="1"/>
    <col min="4617" max="4617" width="6.85546875" style="3" bestFit="1" customWidth="1"/>
    <col min="4618" max="4618" width="9.140625" style="3"/>
    <col min="4619" max="4620" width="2" style="3" customWidth="1"/>
    <col min="4621" max="4621" width="8.140625" style="3" customWidth="1"/>
    <col min="4622" max="4623" width="2" style="3" customWidth="1"/>
    <col min="4624" max="4624" width="2.85546875" style="3" customWidth="1"/>
    <col min="4625" max="4625" width="1.28515625" style="3" customWidth="1"/>
    <col min="4626" max="4626" width="11.7109375" style="3" customWidth="1"/>
    <col min="4627" max="4627" width="4.42578125" style="3" customWidth="1"/>
    <col min="4628" max="4628" width="8" style="3" customWidth="1"/>
    <col min="4629" max="4629" width="4.85546875" style="3" customWidth="1"/>
    <col min="4630" max="4630" width="0" style="3" hidden="1" customWidth="1"/>
    <col min="4631" max="4631" width="15.85546875" style="3" bestFit="1" customWidth="1"/>
    <col min="4632" max="4632" width="9.140625" style="3"/>
    <col min="4633" max="4633" width="15.42578125" style="3" bestFit="1" customWidth="1"/>
    <col min="4634" max="4634" width="19.7109375" style="3" bestFit="1" customWidth="1"/>
    <col min="4635" max="4635" width="16.5703125" style="3" bestFit="1" customWidth="1"/>
    <col min="4636" max="4636" width="13.42578125" style="3" bestFit="1" customWidth="1"/>
    <col min="4637" max="4637" width="16.28515625" style="3" bestFit="1" customWidth="1"/>
    <col min="4638" max="4638" width="15.5703125" style="3" bestFit="1" customWidth="1"/>
    <col min="4639" max="4640" width="9.140625" style="3"/>
    <col min="4641" max="4641" width="11.5703125" style="3" bestFit="1" customWidth="1"/>
    <col min="4642" max="4864" width="9.140625" style="3"/>
    <col min="4865" max="4865" width="3.7109375" style="3" customWidth="1"/>
    <col min="4866" max="4866" width="5.5703125" style="3" customWidth="1"/>
    <col min="4867" max="4867" width="9.85546875" style="3" customWidth="1"/>
    <col min="4868" max="4868" width="33" style="3" customWidth="1"/>
    <col min="4869" max="4869" width="8" style="3" bestFit="1" customWidth="1"/>
    <col min="4870" max="4870" width="4.140625" style="3" customWidth="1"/>
    <col min="4871" max="4871" width="5.42578125" style="3" bestFit="1" customWidth="1"/>
    <col min="4872" max="4872" width="3.7109375" style="3" customWidth="1"/>
    <col min="4873" max="4873" width="6.85546875" style="3" bestFit="1" customWidth="1"/>
    <col min="4874" max="4874" width="9.140625" style="3"/>
    <col min="4875" max="4876" width="2" style="3" customWidth="1"/>
    <col min="4877" max="4877" width="8.140625" style="3" customWidth="1"/>
    <col min="4878" max="4879" width="2" style="3" customWidth="1"/>
    <col min="4880" max="4880" width="2.85546875" style="3" customWidth="1"/>
    <col min="4881" max="4881" width="1.28515625" style="3" customWidth="1"/>
    <col min="4882" max="4882" width="11.7109375" style="3" customWidth="1"/>
    <col min="4883" max="4883" width="4.42578125" style="3" customWidth="1"/>
    <col min="4884" max="4884" width="8" style="3" customWidth="1"/>
    <col min="4885" max="4885" width="4.85546875" style="3" customWidth="1"/>
    <col min="4886" max="4886" width="0" style="3" hidden="1" customWidth="1"/>
    <col min="4887" max="4887" width="15.85546875" style="3" bestFit="1" customWidth="1"/>
    <col min="4888" max="4888" width="9.140625" style="3"/>
    <col min="4889" max="4889" width="15.42578125" style="3" bestFit="1" customWidth="1"/>
    <col min="4890" max="4890" width="19.7109375" style="3" bestFit="1" customWidth="1"/>
    <col min="4891" max="4891" width="16.5703125" style="3" bestFit="1" customWidth="1"/>
    <col min="4892" max="4892" width="13.42578125" style="3" bestFit="1" customWidth="1"/>
    <col min="4893" max="4893" width="16.28515625" style="3" bestFit="1" customWidth="1"/>
    <col min="4894" max="4894" width="15.5703125" style="3" bestFit="1" customWidth="1"/>
    <col min="4895" max="4896" width="9.140625" style="3"/>
    <col min="4897" max="4897" width="11.5703125" style="3" bestFit="1" customWidth="1"/>
    <col min="4898" max="5120" width="9.140625" style="3"/>
    <col min="5121" max="5121" width="3.7109375" style="3" customWidth="1"/>
    <col min="5122" max="5122" width="5.5703125" style="3" customWidth="1"/>
    <col min="5123" max="5123" width="9.85546875" style="3" customWidth="1"/>
    <col min="5124" max="5124" width="33" style="3" customWidth="1"/>
    <col min="5125" max="5125" width="8" style="3" bestFit="1" customWidth="1"/>
    <col min="5126" max="5126" width="4.140625" style="3" customWidth="1"/>
    <col min="5127" max="5127" width="5.42578125" style="3" bestFit="1" customWidth="1"/>
    <col min="5128" max="5128" width="3.7109375" style="3" customWidth="1"/>
    <col min="5129" max="5129" width="6.85546875" style="3" bestFit="1" customWidth="1"/>
    <col min="5130" max="5130" width="9.140625" style="3"/>
    <col min="5131" max="5132" width="2" style="3" customWidth="1"/>
    <col min="5133" max="5133" width="8.140625" style="3" customWidth="1"/>
    <col min="5134" max="5135" width="2" style="3" customWidth="1"/>
    <col min="5136" max="5136" width="2.85546875" style="3" customWidth="1"/>
    <col min="5137" max="5137" width="1.28515625" style="3" customWidth="1"/>
    <col min="5138" max="5138" width="11.7109375" style="3" customWidth="1"/>
    <col min="5139" max="5139" width="4.42578125" style="3" customWidth="1"/>
    <col min="5140" max="5140" width="8" style="3" customWidth="1"/>
    <col min="5141" max="5141" width="4.85546875" style="3" customWidth="1"/>
    <col min="5142" max="5142" width="0" style="3" hidden="1" customWidth="1"/>
    <col min="5143" max="5143" width="15.85546875" style="3" bestFit="1" customWidth="1"/>
    <col min="5144" max="5144" width="9.140625" style="3"/>
    <col min="5145" max="5145" width="15.42578125" style="3" bestFit="1" customWidth="1"/>
    <col min="5146" max="5146" width="19.7109375" style="3" bestFit="1" customWidth="1"/>
    <col min="5147" max="5147" width="16.5703125" style="3" bestFit="1" customWidth="1"/>
    <col min="5148" max="5148" width="13.42578125" style="3" bestFit="1" customWidth="1"/>
    <col min="5149" max="5149" width="16.28515625" style="3" bestFit="1" customWidth="1"/>
    <col min="5150" max="5150" width="15.5703125" style="3" bestFit="1" customWidth="1"/>
    <col min="5151" max="5152" width="9.140625" style="3"/>
    <col min="5153" max="5153" width="11.5703125" style="3" bestFit="1" customWidth="1"/>
    <col min="5154" max="5376" width="9.140625" style="3"/>
    <col min="5377" max="5377" width="3.7109375" style="3" customWidth="1"/>
    <col min="5378" max="5378" width="5.5703125" style="3" customWidth="1"/>
    <col min="5379" max="5379" width="9.85546875" style="3" customWidth="1"/>
    <col min="5380" max="5380" width="33" style="3" customWidth="1"/>
    <col min="5381" max="5381" width="8" style="3" bestFit="1" customWidth="1"/>
    <col min="5382" max="5382" width="4.140625" style="3" customWidth="1"/>
    <col min="5383" max="5383" width="5.42578125" style="3" bestFit="1" customWidth="1"/>
    <col min="5384" max="5384" width="3.7109375" style="3" customWidth="1"/>
    <col min="5385" max="5385" width="6.85546875" style="3" bestFit="1" customWidth="1"/>
    <col min="5386" max="5386" width="9.140625" style="3"/>
    <col min="5387" max="5388" width="2" style="3" customWidth="1"/>
    <col min="5389" max="5389" width="8.140625" style="3" customWidth="1"/>
    <col min="5390" max="5391" width="2" style="3" customWidth="1"/>
    <col min="5392" max="5392" width="2.85546875" style="3" customWidth="1"/>
    <col min="5393" max="5393" width="1.28515625" style="3" customWidth="1"/>
    <col min="5394" max="5394" width="11.7109375" style="3" customWidth="1"/>
    <col min="5395" max="5395" width="4.42578125" style="3" customWidth="1"/>
    <col min="5396" max="5396" width="8" style="3" customWidth="1"/>
    <col min="5397" max="5397" width="4.85546875" style="3" customWidth="1"/>
    <col min="5398" max="5398" width="0" style="3" hidden="1" customWidth="1"/>
    <col min="5399" max="5399" width="15.85546875" style="3" bestFit="1" customWidth="1"/>
    <col min="5400" max="5400" width="9.140625" style="3"/>
    <col min="5401" max="5401" width="15.42578125" style="3" bestFit="1" customWidth="1"/>
    <col min="5402" max="5402" width="19.7109375" style="3" bestFit="1" customWidth="1"/>
    <col min="5403" max="5403" width="16.5703125" style="3" bestFit="1" customWidth="1"/>
    <col min="5404" max="5404" width="13.42578125" style="3" bestFit="1" customWidth="1"/>
    <col min="5405" max="5405" width="16.28515625" style="3" bestFit="1" customWidth="1"/>
    <col min="5406" max="5406" width="15.5703125" style="3" bestFit="1" customWidth="1"/>
    <col min="5407" max="5408" width="9.140625" style="3"/>
    <col min="5409" max="5409" width="11.5703125" style="3" bestFit="1" customWidth="1"/>
    <col min="5410" max="5632" width="9.140625" style="3"/>
    <col min="5633" max="5633" width="3.7109375" style="3" customWidth="1"/>
    <col min="5634" max="5634" width="5.5703125" style="3" customWidth="1"/>
    <col min="5635" max="5635" width="9.85546875" style="3" customWidth="1"/>
    <col min="5636" max="5636" width="33" style="3" customWidth="1"/>
    <col min="5637" max="5637" width="8" style="3" bestFit="1" customWidth="1"/>
    <col min="5638" max="5638" width="4.140625" style="3" customWidth="1"/>
    <col min="5639" max="5639" width="5.42578125" style="3" bestFit="1" customWidth="1"/>
    <col min="5640" max="5640" width="3.7109375" style="3" customWidth="1"/>
    <col min="5641" max="5641" width="6.85546875" style="3" bestFit="1" customWidth="1"/>
    <col min="5642" max="5642" width="9.140625" style="3"/>
    <col min="5643" max="5644" width="2" style="3" customWidth="1"/>
    <col min="5645" max="5645" width="8.140625" style="3" customWidth="1"/>
    <col min="5646" max="5647" width="2" style="3" customWidth="1"/>
    <col min="5648" max="5648" width="2.85546875" style="3" customWidth="1"/>
    <col min="5649" max="5649" width="1.28515625" style="3" customWidth="1"/>
    <col min="5650" max="5650" width="11.7109375" style="3" customWidth="1"/>
    <col min="5651" max="5651" width="4.42578125" style="3" customWidth="1"/>
    <col min="5652" max="5652" width="8" style="3" customWidth="1"/>
    <col min="5653" max="5653" width="4.85546875" style="3" customWidth="1"/>
    <col min="5654" max="5654" width="0" style="3" hidden="1" customWidth="1"/>
    <col min="5655" max="5655" width="15.85546875" style="3" bestFit="1" customWidth="1"/>
    <col min="5656" max="5656" width="9.140625" style="3"/>
    <col min="5657" max="5657" width="15.42578125" style="3" bestFit="1" customWidth="1"/>
    <col min="5658" max="5658" width="19.7109375" style="3" bestFit="1" customWidth="1"/>
    <col min="5659" max="5659" width="16.5703125" style="3" bestFit="1" customWidth="1"/>
    <col min="5660" max="5660" width="13.42578125" style="3" bestFit="1" customWidth="1"/>
    <col min="5661" max="5661" width="16.28515625" style="3" bestFit="1" customWidth="1"/>
    <col min="5662" max="5662" width="15.5703125" style="3" bestFit="1" customWidth="1"/>
    <col min="5663" max="5664" width="9.140625" style="3"/>
    <col min="5665" max="5665" width="11.5703125" style="3" bestFit="1" customWidth="1"/>
    <col min="5666" max="5888" width="9.140625" style="3"/>
    <col min="5889" max="5889" width="3.7109375" style="3" customWidth="1"/>
    <col min="5890" max="5890" width="5.5703125" style="3" customWidth="1"/>
    <col min="5891" max="5891" width="9.85546875" style="3" customWidth="1"/>
    <col min="5892" max="5892" width="33" style="3" customWidth="1"/>
    <col min="5893" max="5893" width="8" style="3" bestFit="1" customWidth="1"/>
    <col min="5894" max="5894" width="4.140625" style="3" customWidth="1"/>
    <col min="5895" max="5895" width="5.42578125" style="3" bestFit="1" customWidth="1"/>
    <col min="5896" max="5896" width="3.7109375" style="3" customWidth="1"/>
    <col min="5897" max="5897" width="6.85546875" style="3" bestFit="1" customWidth="1"/>
    <col min="5898" max="5898" width="9.140625" style="3"/>
    <col min="5899" max="5900" width="2" style="3" customWidth="1"/>
    <col min="5901" max="5901" width="8.140625" style="3" customWidth="1"/>
    <col min="5902" max="5903" width="2" style="3" customWidth="1"/>
    <col min="5904" max="5904" width="2.85546875" style="3" customWidth="1"/>
    <col min="5905" max="5905" width="1.28515625" style="3" customWidth="1"/>
    <col min="5906" max="5906" width="11.7109375" style="3" customWidth="1"/>
    <col min="5907" max="5907" width="4.42578125" style="3" customWidth="1"/>
    <col min="5908" max="5908" width="8" style="3" customWidth="1"/>
    <col min="5909" max="5909" width="4.85546875" style="3" customWidth="1"/>
    <col min="5910" max="5910" width="0" style="3" hidden="1" customWidth="1"/>
    <col min="5911" max="5911" width="15.85546875" style="3" bestFit="1" customWidth="1"/>
    <col min="5912" max="5912" width="9.140625" style="3"/>
    <col min="5913" max="5913" width="15.42578125" style="3" bestFit="1" customWidth="1"/>
    <col min="5914" max="5914" width="19.7109375" style="3" bestFit="1" customWidth="1"/>
    <col min="5915" max="5915" width="16.5703125" style="3" bestFit="1" customWidth="1"/>
    <col min="5916" max="5916" width="13.42578125" style="3" bestFit="1" customWidth="1"/>
    <col min="5917" max="5917" width="16.28515625" style="3" bestFit="1" customWidth="1"/>
    <col min="5918" max="5918" width="15.5703125" style="3" bestFit="1" customWidth="1"/>
    <col min="5919" max="5920" width="9.140625" style="3"/>
    <col min="5921" max="5921" width="11.5703125" style="3" bestFit="1" customWidth="1"/>
    <col min="5922" max="6144" width="9.140625" style="3"/>
    <col min="6145" max="6145" width="3.7109375" style="3" customWidth="1"/>
    <col min="6146" max="6146" width="5.5703125" style="3" customWidth="1"/>
    <col min="6147" max="6147" width="9.85546875" style="3" customWidth="1"/>
    <col min="6148" max="6148" width="33" style="3" customWidth="1"/>
    <col min="6149" max="6149" width="8" style="3" bestFit="1" customWidth="1"/>
    <col min="6150" max="6150" width="4.140625" style="3" customWidth="1"/>
    <col min="6151" max="6151" width="5.42578125" style="3" bestFit="1" customWidth="1"/>
    <col min="6152" max="6152" width="3.7109375" style="3" customWidth="1"/>
    <col min="6153" max="6153" width="6.85546875" style="3" bestFit="1" customWidth="1"/>
    <col min="6154" max="6154" width="9.140625" style="3"/>
    <col min="6155" max="6156" width="2" style="3" customWidth="1"/>
    <col min="6157" max="6157" width="8.140625" style="3" customWidth="1"/>
    <col min="6158" max="6159" width="2" style="3" customWidth="1"/>
    <col min="6160" max="6160" width="2.85546875" style="3" customWidth="1"/>
    <col min="6161" max="6161" width="1.28515625" style="3" customWidth="1"/>
    <col min="6162" max="6162" width="11.7109375" style="3" customWidth="1"/>
    <col min="6163" max="6163" width="4.42578125" style="3" customWidth="1"/>
    <col min="6164" max="6164" width="8" style="3" customWidth="1"/>
    <col min="6165" max="6165" width="4.85546875" style="3" customWidth="1"/>
    <col min="6166" max="6166" width="0" style="3" hidden="1" customWidth="1"/>
    <col min="6167" max="6167" width="15.85546875" style="3" bestFit="1" customWidth="1"/>
    <col min="6168" max="6168" width="9.140625" style="3"/>
    <col min="6169" max="6169" width="15.42578125" style="3" bestFit="1" customWidth="1"/>
    <col min="6170" max="6170" width="19.7109375" style="3" bestFit="1" customWidth="1"/>
    <col min="6171" max="6171" width="16.5703125" style="3" bestFit="1" customWidth="1"/>
    <col min="6172" max="6172" width="13.42578125" style="3" bestFit="1" customWidth="1"/>
    <col min="6173" max="6173" width="16.28515625" style="3" bestFit="1" customWidth="1"/>
    <col min="6174" max="6174" width="15.5703125" style="3" bestFit="1" customWidth="1"/>
    <col min="6175" max="6176" width="9.140625" style="3"/>
    <col min="6177" max="6177" width="11.5703125" style="3" bestFit="1" customWidth="1"/>
    <col min="6178" max="6400" width="9.140625" style="3"/>
    <col min="6401" max="6401" width="3.7109375" style="3" customWidth="1"/>
    <col min="6402" max="6402" width="5.5703125" style="3" customWidth="1"/>
    <col min="6403" max="6403" width="9.85546875" style="3" customWidth="1"/>
    <col min="6404" max="6404" width="33" style="3" customWidth="1"/>
    <col min="6405" max="6405" width="8" style="3" bestFit="1" customWidth="1"/>
    <col min="6406" max="6406" width="4.140625" style="3" customWidth="1"/>
    <col min="6407" max="6407" width="5.42578125" style="3" bestFit="1" customWidth="1"/>
    <col min="6408" max="6408" width="3.7109375" style="3" customWidth="1"/>
    <col min="6409" max="6409" width="6.85546875" style="3" bestFit="1" customWidth="1"/>
    <col min="6410" max="6410" width="9.140625" style="3"/>
    <col min="6411" max="6412" width="2" style="3" customWidth="1"/>
    <col min="6413" max="6413" width="8.140625" style="3" customWidth="1"/>
    <col min="6414" max="6415" width="2" style="3" customWidth="1"/>
    <col min="6416" max="6416" width="2.85546875" style="3" customWidth="1"/>
    <col min="6417" max="6417" width="1.28515625" style="3" customWidth="1"/>
    <col min="6418" max="6418" width="11.7109375" style="3" customWidth="1"/>
    <col min="6419" max="6419" width="4.42578125" style="3" customWidth="1"/>
    <col min="6420" max="6420" width="8" style="3" customWidth="1"/>
    <col min="6421" max="6421" width="4.85546875" style="3" customWidth="1"/>
    <col min="6422" max="6422" width="0" style="3" hidden="1" customWidth="1"/>
    <col min="6423" max="6423" width="15.85546875" style="3" bestFit="1" customWidth="1"/>
    <col min="6424" max="6424" width="9.140625" style="3"/>
    <col min="6425" max="6425" width="15.42578125" style="3" bestFit="1" customWidth="1"/>
    <col min="6426" max="6426" width="19.7109375" style="3" bestFit="1" customWidth="1"/>
    <col min="6427" max="6427" width="16.5703125" style="3" bestFit="1" customWidth="1"/>
    <col min="6428" max="6428" width="13.42578125" style="3" bestFit="1" customWidth="1"/>
    <col min="6429" max="6429" width="16.28515625" style="3" bestFit="1" customWidth="1"/>
    <col min="6430" max="6430" width="15.5703125" style="3" bestFit="1" customWidth="1"/>
    <col min="6431" max="6432" width="9.140625" style="3"/>
    <col min="6433" max="6433" width="11.5703125" style="3" bestFit="1" customWidth="1"/>
    <col min="6434" max="6656" width="9.140625" style="3"/>
    <col min="6657" max="6657" width="3.7109375" style="3" customWidth="1"/>
    <col min="6658" max="6658" width="5.5703125" style="3" customWidth="1"/>
    <col min="6659" max="6659" width="9.85546875" style="3" customWidth="1"/>
    <col min="6660" max="6660" width="33" style="3" customWidth="1"/>
    <col min="6661" max="6661" width="8" style="3" bestFit="1" customWidth="1"/>
    <col min="6662" max="6662" width="4.140625" style="3" customWidth="1"/>
    <col min="6663" max="6663" width="5.42578125" style="3" bestFit="1" customWidth="1"/>
    <col min="6664" max="6664" width="3.7109375" style="3" customWidth="1"/>
    <col min="6665" max="6665" width="6.85546875" style="3" bestFit="1" customWidth="1"/>
    <col min="6666" max="6666" width="9.140625" style="3"/>
    <col min="6667" max="6668" width="2" style="3" customWidth="1"/>
    <col min="6669" max="6669" width="8.140625" style="3" customWidth="1"/>
    <col min="6670" max="6671" width="2" style="3" customWidth="1"/>
    <col min="6672" max="6672" width="2.85546875" style="3" customWidth="1"/>
    <col min="6673" max="6673" width="1.28515625" style="3" customWidth="1"/>
    <col min="6674" max="6674" width="11.7109375" style="3" customWidth="1"/>
    <col min="6675" max="6675" width="4.42578125" style="3" customWidth="1"/>
    <col min="6676" max="6676" width="8" style="3" customWidth="1"/>
    <col min="6677" max="6677" width="4.85546875" style="3" customWidth="1"/>
    <col min="6678" max="6678" width="0" style="3" hidden="1" customWidth="1"/>
    <col min="6679" max="6679" width="15.85546875" style="3" bestFit="1" customWidth="1"/>
    <col min="6680" max="6680" width="9.140625" style="3"/>
    <col min="6681" max="6681" width="15.42578125" style="3" bestFit="1" customWidth="1"/>
    <col min="6682" max="6682" width="19.7109375" style="3" bestFit="1" customWidth="1"/>
    <col min="6683" max="6683" width="16.5703125" style="3" bestFit="1" customWidth="1"/>
    <col min="6684" max="6684" width="13.42578125" style="3" bestFit="1" customWidth="1"/>
    <col min="6685" max="6685" width="16.28515625" style="3" bestFit="1" customWidth="1"/>
    <col min="6686" max="6686" width="15.5703125" style="3" bestFit="1" customWidth="1"/>
    <col min="6687" max="6688" width="9.140625" style="3"/>
    <col min="6689" max="6689" width="11.5703125" style="3" bestFit="1" customWidth="1"/>
    <col min="6690" max="6912" width="9.140625" style="3"/>
    <col min="6913" max="6913" width="3.7109375" style="3" customWidth="1"/>
    <col min="6914" max="6914" width="5.5703125" style="3" customWidth="1"/>
    <col min="6915" max="6915" width="9.85546875" style="3" customWidth="1"/>
    <col min="6916" max="6916" width="33" style="3" customWidth="1"/>
    <col min="6917" max="6917" width="8" style="3" bestFit="1" customWidth="1"/>
    <col min="6918" max="6918" width="4.140625" style="3" customWidth="1"/>
    <col min="6919" max="6919" width="5.42578125" style="3" bestFit="1" customWidth="1"/>
    <col min="6920" max="6920" width="3.7109375" style="3" customWidth="1"/>
    <col min="6921" max="6921" width="6.85546875" style="3" bestFit="1" customWidth="1"/>
    <col min="6922" max="6922" width="9.140625" style="3"/>
    <col min="6923" max="6924" width="2" style="3" customWidth="1"/>
    <col min="6925" max="6925" width="8.140625" style="3" customWidth="1"/>
    <col min="6926" max="6927" width="2" style="3" customWidth="1"/>
    <col min="6928" max="6928" width="2.85546875" style="3" customWidth="1"/>
    <col min="6929" max="6929" width="1.28515625" style="3" customWidth="1"/>
    <col min="6930" max="6930" width="11.7109375" style="3" customWidth="1"/>
    <col min="6931" max="6931" width="4.42578125" style="3" customWidth="1"/>
    <col min="6932" max="6932" width="8" style="3" customWidth="1"/>
    <col min="6933" max="6933" width="4.85546875" style="3" customWidth="1"/>
    <col min="6934" max="6934" width="0" style="3" hidden="1" customWidth="1"/>
    <col min="6935" max="6935" width="15.85546875" style="3" bestFit="1" customWidth="1"/>
    <col min="6936" max="6936" width="9.140625" style="3"/>
    <col min="6937" max="6937" width="15.42578125" style="3" bestFit="1" customWidth="1"/>
    <col min="6938" max="6938" width="19.7109375" style="3" bestFit="1" customWidth="1"/>
    <col min="6939" max="6939" width="16.5703125" style="3" bestFit="1" customWidth="1"/>
    <col min="6940" max="6940" width="13.42578125" style="3" bestFit="1" customWidth="1"/>
    <col min="6941" max="6941" width="16.28515625" style="3" bestFit="1" customWidth="1"/>
    <col min="6942" max="6942" width="15.5703125" style="3" bestFit="1" customWidth="1"/>
    <col min="6943" max="6944" width="9.140625" style="3"/>
    <col min="6945" max="6945" width="11.5703125" style="3" bestFit="1" customWidth="1"/>
    <col min="6946" max="7168" width="9.140625" style="3"/>
    <col min="7169" max="7169" width="3.7109375" style="3" customWidth="1"/>
    <col min="7170" max="7170" width="5.5703125" style="3" customWidth="1"/>
    <col min="7171" max="7171" width="9.85546875" style="3" customWidth="1"/>
    <col min="7172" max="7172" width="33" style="3" customWidth="1"/>
    <col min="7173" max="7173" width="8" style="3" bestFit="1" customWidth="1"/>
    <col min="7174" max="7174" width="4.140625" style="3" customWidth="1"/>
    <col min="7175" max="7175" width="5.42578125" style="3" bestFit="1" customWidth="1"/>
    <col min="7176" max="7176" width="3.7109375" style="3" customWidth="1"/>
    <col min="7177" max="7177" width="6.85546875" style="3" bestFit="1" customWidth="1"/>
    <col min="7178" max="7178" width="9.140625" style="3"/>
    <col min="7179" max="7180" width="2" style="3" customWidth="1"/>
    <col min="7181" max="7181" width="8.140625" style="3" customWidth="1"/>
    <col min="7182" max="7183" width="2" style="3" customWidth="1"/>
    <col min="7184" max="7184" width="2.85546875" style="3" customWidth="1"/>
    <col min="7185" max="7185" width="1.28515625" style="3" customWidth="1"/>
    <col min="7186" max="7186" width="11.7109375" style="3" customWidth="1"/>
    <col min="7187" max="7187" width="4.42578125" style="3" customWidth="1"/>
    <col min="7188" max="7188" width="8" style="3" customWidth="1"/>
    <col min="7189" max="7189" width="4.85546875" style="3" customWidth="1"/>
    <col min="7190" max="7190" width="0" style="3" hidden="1" customWidth="1"/>
    <col min="7191" max="7191" width="15.85546875" style="3" bestFit="1" customWidth="1"/>
    <col min="7192" max="7192" width="9.140625" style="3"/>
    <col min="7193" max="7193" width="15.42578125" style="3" bestFit="1" customWidth="1"/>
    <col min="7194" max="7194" width="19.7109375" style="3" bestFit="1" customWidth="1"/>
    <col min="7195" max="7195" width="16.5703125" style="3" bestFit="1" customWidth="1"/>
    <col min="7196" max="7196" width="13.42578125" style="3" bestFit="1" customWidth="1"/>
    <col min="7197" max="7197" width="16.28515625" style="3" bestFit="1" customWidth="1"/>
    <col min="7198" max="7198" width="15.5703125" style="3" bestFit="1" customWidth="1"/>
    <col min="7199" max="7200" width="9.140625" style="3"/>
    <col min="7201" max="7201" width="11.5703125" style="3" bestFit="1" customWidth="1"/>
    <col min="7202" max="7424" width="9.140625" style="3"/>
    <col min="7425" max="7425" width="3.7109375" style="3" customWidth="1"/>
    <col min="7426" max="7426" width="5.5703125" style="3" customWidth="1"/>
    <col min="7427" max="7427" width="9.85546875" style="3" customWidth="1"/>
    <col min="7428" max="7428" width="33" style="3" customWidth="1"/>
    <col min="7429" max="7429" width="8" style="3" bestFit="1" customWidth="1"/>
    <col min="7430" max="7430" width="4.140625" style="3" customWidth="1"/>
    <col min="7431" max="7431" width="5.42578125" style="3" bestFit="1" customWidth="1"/>
    <col min="7432" max="7432" width="3.7109375" style="3" customWidth="1"/>
    <col min="7433" max="7433" width="6.85546875" style="3" bestFit="1" customWidth="1"/>
    <col min="7434" max="7434" width="9.140625" style="3"/>
    <col min="7435" max="7436" width="2" style="3" customWidth="1"/>
    <col min="7437" max="7437" width="8.140625" style="3" customWidth="1"/>
    <col min="7438" max="7439" width="2" style="3" customWidth="1"/>
    <col min="7440" max="7440" width="2.85546875" style="3" customWidth="1"/>
    <col min="7441" max="7441" width="1.28515625" style="3" customWidth="1"/>
    <col min="7442" max="7442" width="11.7109375" style="3" customWidth="1"/>
    <col min="7443" max="7443" width="4.42578125" style="3" customWidth="1"/>
    <col min="7444" max="7444" width="8" style="3" customWidth="1"/>
    <col min="7445" max="7445" width="4.85546875" style="3" customWidth="1"/>
    <col min="7446" max="7446" width="0" style="3" hidden="1" customWidth="1"/>
    <col min="7447" max="7447" width="15.85546875" style="3" bestFit="1" customWidth="1"/>
    <col min="7448" max="7448" width="9.140625" style="3"/>
    <col min="7449" max="7449" width="15.42578125" style="3" bestFit="1" customWidth="1"/>
    <col min="7450" max="7450" width="19.7109375" style="3" bestFit="1" customWidth="1"/>
    <col min="7451" max="7451" width="16.5703125" style="3" bestFit="1" customWidth="1"/>
    <col min="7452" max="7452" width="13.42578125" style="3" bestFit="1" customWidth="1"/>
    <col min="7453" max="7453" width="16.28515625" style="3" bestFit="1" customWidth="1"/>
    <col min="7454" max="7454" width="15.5703125" style="3" bestFit="1" customWidth="1"/>
    <col min="7455" max="7456" width="9.140625" style="3"/>
    <col min="7457" max="7457" width="11.5703125" style="3" bestFit="1" customWidth="1"/>
    <col min="7458" max="7680" width="9.140625" style="3"/>
    <col min="7681" max="7681" width="3.7109375" style="3" customWidth="1"/>
    <col min="7682" max="7682" width="5.5703125" style="3" customWidth="1"/>
    <col min="7683" max="7683" width="9.85546875" style="3" customWidth="1"/>
    <col min="7684" max="7684" width="33" style="3" customWidth="1"/>
    <col min="7685" max="7685" width="8" style="3" bestFit="1" customWidth="1"/>
    <col min="7686" max="7686" width="4.140625" style="3" customWidth="1"/>
    <col min="7687" max="7687" width="5.42578125" style="3" bestFit="1" customWidth="1"/>
    <col min="7688" max="7688" width="3.7109375" style="3" customWidth="1"/>
    <col min="7689" max="7689" width="6.85546875" style="3" bestFit="1" customWidth="1"/>
    <col min="7690" max="7690" width="9.140625" style="3"/>
    <col min="7691" max="7692" width="2" style="3" customWidth="1"/>
    <col min="7693" max="7693" width="8.140625" style="3" customWidth="1"/>
    <col min="7694" max="7695" width="2" style="3" customWidth="1"/>
    <col min="7696" max="7696" width="2.85546875" style="3" customWidth="1"/>
    <col min="7697" max="7697" width="1.28515625" style="3" customWidth="1"/>
    <col min="7698" max="7698" width="11.7109375" style="3" customWidth="1"/>
    <col min="7699" max="7699" width="4.42578125" style="3" customWidth="1"/>
    <col min="7700" max="7700" width="8" style="3" customWidth="1"/>
    <col min="7701" max="7701" width="4.85546875" style="3" customWidth="1"/>
    <col min="7702" max="7702" width="0" style="3" hidden="1" customWidth="1"/>
    <col min="7703" max="7703" width="15.85546875" style="3" bestFit="1" customWidth="1"/>
    <col min="7704" max="7704" width="9.140625" style="3"/>
    <col min="7705" max="7705" width="15.42578125" style="3" bestFit="1" customWidth="1"/>
    <col min="7706" max="7706" width="19.7109375" style="3" bestFit="1" customWidth="1"/>
    <col min="7707" max="7707" width="16.5703125" style="3" bestFit="1" customWidth="1"/>
    <col min="7708" max="7708" width="13.42578125" style="3" bestFit="1" customWidth="1"/>
    <col min="7709" max="7709" width="16.28515625" style="3" bestFit="1" customWidth="1"/>
    <col min="7710" max="7710" width="15.5703125" style="3" bestFit="1" customWidth="1"/>
    <col min="7711" max="7712" width="9.140625" style="3"/>
    <col min="7713" max="7713" width="11.5703125" style="3" bestFit="1" customWidth="1"/>
    <col min="7714" max="7936" width="9.140625" style="3"/>
    <col min="7937" max="7937" width="3.7109375" style="3" customWidth="1"/>
    <col min="7938" max="7938" width="5.5703125" style="3" customWidth="1"/>
    <col min="7939" max="7939" width="9.85546875" style="3" customWidth="1"/>
    <col min="7940" max="7940" width="33" style="3" customWidth="1"/>
    <col min="7941" max="7941" width="8" style="3" bestFit="1" customWidth="1"/>
    <col min="7942" max="7942" width="4.140625" style="3" customWidth="1"/>
    <col min="7943" max="7943" width="5.42578125" style="3" bestFit="1" customWidth="1"/>
    <col min="7944" max="7944" width="3.7109375" style="3" customWidth="1"/>
    <col min="7945" max="7945" width="6.85546875" style="3" bestFit="1" customWidth="1"/>
    <col min="7946" max="7946" width="9.140625" style="3"/>
    <col min="7947" max="7948" width="2" style="3" customWidth="1"/>
    <col min="7949" max="7949" width="8.140625" style="3" customWidth="1"/>
    <col min="7950" max="7951" width="2" style="3" customWidth="1"/>
    <col min="7952" max="7952" width="2.85546875" style="3" customWidth="1"/>
    <col min="7953" max="7953" width="1.28515625" style="3" customWidth="1"/>
    <col min="7954" max="7954" width="11.7109375" style="3" customWidth="1"/>
    <col min="7955" max="7955" width="4.42578125" style="3" customWidth="1"/>
    <col min="7956" max="7956" width="8" style="3" customWidth="1"/>
    <col min="7957" max="7957" width="4.85546875" style="3" customWidth="1"/>
    <col min="7958" max="7958" width="0" style="3" hidden="1" customWidth="1"/>
    <col min="7959" max="7959" width="15.85546875" style="3" bestFit="1" customWidth="1"/>
    <col min="7960" max="7960" width="9.140625" style="3"/>
    <col min="7961" max="7961" width="15.42578125" style="3" bestFit="1" customWidth="1"/>
    <col min="7962" max="7962" width="19.7109375" style="3" bestFit="1" customWidth="1"/>
    <col min="7963" max="7963" width="16.5703125" style="3" bestFit="1" customWidth="1"/>
    <col min="7964" max="7964" width="13.42578125" style="3" bestFit="1" customWidth="1"/>
    <col min="7965" max="7965" width="16.28515625" style="3" bestFit="1" customWidth="1"/>
    <col min="7966" max="7966" width="15.5703125" style="3" bestFit="1" customWidth="1"/>
    <col min="7967" max="7968" width="9.140625" style="3"/>
    <col min="7969" max="7969" width="11.5703125" style="3" bestFit="1" customWidth="1"/>
    <col min="7970" max="8192" width="9.140625" style="3"/>
    <col min="8193" max="8193" width="3.7109375" style="3" customWidth="1"/>
    <col min="8194" max="8194" width="5.5703125" style="3" customWidth="1"/>
    <col min="8195" max="8195" width="9.85546875" style="3" customWidth="1"/>
    <col min="8196" max="8196" width="33" style="3" customWidth="1"/>
    <col min="8197" max="8197" width="8" style="3" bestFit="1" customWidth="1"/>
    <col min="8198" max="8198" width="4.140625" style="3" customWidth="1"/>
    <col min="8199" max="8199" width="5.42578125" style="3" bestFit="1" customWidth="1"/>
    <col min="8200" max="8200" width="3.7109375" style="3" customWidth="1"/>
    <col min="8201" max="8201" width="6.85546875" style="3" bestFit="1" customWidth="1"/>
    <col min="8202" max="8202" width="9.140625" style="3"/>
    <col min="8203" max="8204" width="2" style="3" customWidth="1"/>
    <col min="8205" max="8205" width="8.140625" style="3" customWidth="1"/>
    <col min="8206" max="8207" width="2" style="3" customWidth="1"/>
    <col min="8208" max="8208" width="2.85546875" style="3" customWidth="1"/>
    <col min="8209" max="8209" width="1.28515625" style="3" customWidth="1"/>
    <col min="8210" max="8210" width="11.7109375" style="3" customWidth="1"/>
    <col min="8211" max="8211" width="4.42578125" style="3" customWidth="1"/>
    <col min="8212" max="8212" width="8" style="3" customWidth="1"/>
    <col min="8213" max="8213" width="4.85546875" style="3" customWidth="1"/>
    <col min="8214" max="8214" width="0" style="3" hidden="1" customWidth="1"/>
    <col min="8215" max="8215" width="15.85546875" style="3" bestFit="1" customWidth="1"/>
    <col min="8216" max="8216" width="9.140625" style="3"/>
    <col min="8217" max="8217" width="15.42578125" style="3" bestFit="1" customWidth="1"/>
    <col min="8218" max="8218" width="19.7109375" style="3" bestFit="1" customWidth="1"/>
    <col min="8219" max="8219" width="16.5703125" style="3" bestFit="1" customWidth="1"/>
    <col min="8220" max="8220" width="13.42578125" style="3" bestFit="1" customWidth="1"/>
    <col min="8221" max="8221" width="16.28515625" style="3" bestFit="1" customWidth="1"/>
    <col min="8222" max="8222" width="15.5703125" style="3" bestFit="1" customWidth="1"/>
    <col min="8223" max="8224" width="9.140625" style="3"/>
    <col min="8225" max="8225" width="11.5703125" style="3" bestFit="1" customWidth="1"/>
    <col min="8226" max="8448" width="9.140625" style="3"/>
    <col min="8449" max="8449" width="3.7109375" style="3" customWidth="1"/>
    <col min="8450" max="8450" width="5.5703125" style="3" customWidth="1"/>
    <col min="8451" max="8451" width="9.85546875" style="3" customWidth="1"/>
    <col min="8452" max="8452" width="33" style="3" customWidth="1"/>
    <col min="8453" max="8453" width="8" style="3" bestFit="1" customWidth="1"/>
    <col min="8454" max="8454" width="4.140625" style="3" customWidth="1"/>
    <col min="8455" max="8455" width="5.42578125" style="3" bestFit="1" customWidth="1"/>
    <col min="8456" max="8456" width="3.7109375" style="3" customWidth="1"/>
    <col min="8457" max="8457" width="6.85546875" style="3" bestFit="1" customWidth="1"/>
    <col min="8458" max="8458" width="9.140625" style="3"/>
    <col min="8459" max="8460" width="2" style="3" customWidth="1"/>
    <col min="8461" max="8461" width="8.140625" style="3" customWidth="1"/>
    <col min="8462" max="8463" width="2" style="3" customWidth="1"/>
    <col min="8464" max="8464" width="2.85546875" style="3" customWidth="1"/>
    <col min="8465" max="8465" width="1.28515625" style="3" customWidth="1"/>
    <col min="8466" max="8466" width="11.7109375" style="3" customWidth="1"/>
    <col min="8467" max="8467" width="4.42578125" style="3" customWidth="1"/>
    <col min="8468" max="8468" width="8" style="3" customWidth="1"/>
    <col min="8469" max="8469" width="4.85546875" style="3" customWidth="1"/>
    <col min="8470" max="8470" width="0" style="3" hidden="1" customWidth="1"/>
    <col min="8471" max="8471" width="15.85546875" style="3" bestFit="1" customWidth="1"/>
    <col min="8472" max="8472" width="9.140625" style="3"/>
    <col min="8473" max="8473" width="15.42578125" style="3" bestFit="1" customWidth="1"/>
    <col min="8474" max="8474" width="19.7109375" style="3" bestFit="1" customWidth="1"/>
    <col min="8475" max="8475" width="16.5703125" style="3" bestFit="1" customWidth="1"/>
    <col min="8476" max="8476" width="13.42578125" style="3" bestFit="1" customWidth="1"/>
    <col min="8477" max="8477" width="16.28515625" style="3" bestFit="1" customWidth="1"/>
    <col min="8478" max="8478" width="15.5703125" style="3" bestFit="1" customWidth="1"/>
    <col min="8479" max="8480" width="9.140625" style="3"/>
    <col min="8481" max="8481" width="11.5703125" style="3" bestFit="1" customWidth="1"/>
    <col min="8482" max="8704" width="9.140625" style="3"/>
    <col min="8705" max="8705" width="3.7109375" style="3" customWidth="1"/>
    <col min="8706" max="8706" width="5.5703125" style="3" customWidth="1"/>
    <col min="8707" max="8707" width="9.85546875" style="3" customWidth="1"/>
    <col min="8708" max="8708" width="33" style="3" customWidth="1"/>
    <col min="8709" max="8709" width="8" style="3" bestFit="1" customWidth="1"/>
    <col min="8710" max="8710" width="4.140625" style="3" customWidth="1"/>
    <col min="8711" max="8711" width="5.42578125" style="3" bestFit="1" customWidth="1"/>
    <col min="8712" max="8712" width="3.7109375" style="3" customWidth="1"/>
    <col min="8713" max="8713" width="6.85546875" style="3" bestFit="1" customWidth="1"/>
    <col min="8714" max="8714" width="9.140625" style="3"/>
    <col min="8715" max="8716" width="2" style="3" customWidth="1"/>
    <col min="8717" max="8717" width="8.140625" style="3" customWidth="1"/>
    <col min="8718" max="8719" width="2" style="3" customWidth="1"/>
    <col min="8720" max="8720" width="2.85546875" style="3" customWidth="1"/>
    <col min="8721" max="8721" width="1.28515625" style="3" customWidth="1"/>
    <col min="8722" max="8722" width="11.7109375" style="3" customWidth="1"/>
    <col min="8723" max="8723" width="4.42578125" style="3" customWidth="1"/>
    <col min="8724" max="8724" width="8" style="3" customWidth="1"/>
    <col min="8725" max="8725" width="4.85546875" style="3" customWidth="1"/>
    <col min="8726" max="8726" width="0" style="3" hidden="1" customWidth="1"/>
    <col min="8727" max="8727" width="15.85546875" style="3" bestFit="1" customWidth="1"/>
    <col min="8728" max="8728" width="9.140625" style="3"/>
    <col min="8729" max="8729" width="15.42578125" style="3" bestFit="1" customWidth="1"/>
    <col min="8730" max="8730" width="19.7109375" style="3" bestFit="1" customWidth="1"/>
    <col min="8731" max="8731" width="16.5703125" style="3" bestFit="1" customWidth="1"/>
    <col min="8732" max="8732" width="13.42578125" style="3" bestFit="1" customWidth="1"/>
    <col min="8733" max="8733" width="16.28515625" style="3" bestFit="1" customWidth="1"/>
    <col min="8734" max="8734" width="15.5703125" style="3" bestFit="1" customWidth="1"/>
    <col min="8735" max="8736" width="9.140625" style="3"/>
    <col min="8737" max="8737" width="11.5703125" style="3" bestFit="1" customWidth="1"/>
    <col min="8738" max="8960" width="9.140625" style="3"/>
    <col min="8961" max="8961" width="3.7109375" style="3" customWidth="1"/>
    <col min="8962" max="8962" width="5.5703125" style="3" customWidth="1"/>
    <col min="8963" max="8963" width="9.85546875" style="3" customWidth="1"/>
    <col min="8964" max="8964" width="33" style="3" customWidth="1"/>
    <col min="8965" max="8965" width="8" style="3" bestFit="1" customWidth="1"/>
    <col min="8966" max="8966" width="4.140625" style="3" customWidth="1"/>
    <col min="8967" max="8967" width="5.42578125" style="3" bestFit="1" customWidth="1"/>
    <col min="8968" max="8968" width="3.7109375" style="3" customWidth="1"/>
    <col min="8969" max="8969" width="6.85546875" style="3" bestFit="1" customWidth="1"/>
    <col min="8970" max="8970" width="9.140625" style="3"/>
    <col min="8971" max="8972" width="2" style="3" customWidth="1"/>
    <col min="8973" max="8973" width="8.140625" style="3" customWidth="1"/>
    <col min="8974" max="8975" width="2" style="3" customWidth="1"/>
    <col min="8976" max="8976" width="2.85546875" style="3" customWidth="1"/>
    <col min="8977" max="8977" width="1.28515625" style="3" customWidth="1"/>
    <col min="8978" max="8978" width="11.7109375" style="3" customWidth="1"/>
    <col min="8979" max="8979" width="4.42578125" style="3" customWidth="1"/>
    <col min="8980" max="8980" width="8" style="3" customWidth="1"/>
    <col min="8981" max="8981" width="4.85546875" style="3" customWidth="1"/>
    <col min="8982" max="8982" width="0" style="3" hidden="1" customWidth="1"/>
    <col min="8983" max="8983" width="15.85546875" style="3" bestFit="1" customWidth="1"/>
    <col min="8984" max="8984" width="9.140625" style="3"/>
    <col min="8985" max="8985" width="15.42578125" style="3" bestFit="1" customWidth="1"/>
    <col min="8986" max="8986" width="19.7109375" style="3" bestFit="1" customWidth="1"/>
    <col min="8987" max="8987" width="16.5703125" style="3" bestFit="1" customWidth="1"/>
    <col min="8988" max="8988" width="13.42578125" style="3" bestFit="1" customWidth="1"/>
    <col min="8989" max="8989" width="16.28515625" style="3" bestFit="1" customWidth="1"/>
    <col min="8990" max="8990" width="15.5703125" style="3" bestFit="1" customWidth="1"/>
    <col min="8991" max="8992" width="9.140625" style="3"/>
    <col min="8993" max="8993" width="11.5703125" style="3" bestFit="1" customWidth="1"/>
    <col min="8994" max="9216" width="9.140625" style="3"/>
    <col min="9217" max="9217" width="3.7109375" style="3" customWidth="1"/>
    <col min="9218" max="9218" width="5.5703125" style="3" customWidth="1"/>
    <col min="9219" max="9219" width="9.85546875" style="3" customWidth="1"/>
    <col min="9220" max="9220" width="33" style="3" customWidth="1"/>
    <col min="9221" max="9221" width="8" style="3" bestFit="1" customWidth="1"/>
    <col min="9222" max="9222" width="4.140625" style="3" customWidth="1"/>
    <col min="9223" max="9223" width="5.42578125" style="3" bestFit="1" customWidth="1"/>
    <col min="9224" max="9224" width="3.7109375" style="3" customWidth="1"/>
    <col min="9225" max="9225" width="6.85546875" style="3" bestFit="1" customWidth="1"/>
    <col min="9226" max="9226" width="9.140625" style="3"/>
    <col min="9227" max="9228" width="2" style="3" customWidth="1"/>
    <col min="9229" max="9229" width="8.140625" style="3" customWidth="1"/>
    <col min="9230" max="9231" width="2" style="3" customWidth="1"/>
    <col min="9232" max="9232" width="2.85546875" style="3" customWidth="1"/>
    <col min="9233" max="9233" width="1.28515625" style="3" customWidth="1"/>
    <col min="9234" max="9234" width="11.7109375" style="3" customWidth="1"/>
    <col min="9235" max="9235" width="4.42578125" style="3" customWidth="1"/>
    <col min="9236" max="9236" width="8" style="3" customWidth="1"/>
    <col min="9237" max="9237" width="4.85546875" style="3" customWidth="1"/>
    <col min="9238" max="9238" width="0" style="3" hidden="1" customWidth="1"/>
    <col min="9239" max="9239" width="15.85546875" style="3" bestFit="1" customWidth="1"/>
    <col min="9240" max="9240" width="9.140625" style="3"/>
    <col min="9241" max="9241" width="15.42578125" style="3" bestFit="1" customWidth="1"/>
    <col min="9242" max="9242" width="19.7109375" style="3" bestFit="1" customWidth="1"/>
    <col min="9243" max="9243" width="16.5703125" style="3" bestFit="1" customWidth="1"/>
    <col min="9244" max="9244" width="13.42578125" style="3" bestFit="1" customWidth="1"/>
    <col min="9245" max="9245" width="16.28515625" style="3" bestFit="1" customWidth="1"/>
    <col min="9246" max="9246" width="15.5703125" style="3" bestFit="1" customWidth="1"/>
    <col min="9247" max="9248" width="9.140625" style="3"/>
    <col min="9249" max="9249" width="11.5703125" style="3" bestFit="1" customWidth="1"/>
    <col min="9250" max="9472" width="9.140625" style="3"/>
    <col min="9473" max="9473" width="3.7109375" style="3" customWidth="1"/>
    <col min="9474" max="9474" width="5.5703125" style="3" customWidth="1"/>
    <col min="9475" max="9475" width="9.85546875" style="3" customWidth="1"/>
    <col min="9476" max="9476" width="33" style="3" customWidth="1"/>
    <col min="9477" max="9477" width="8" style="3" bestFit="1" customWidth="1"/>
    <col min="9478" max="9478" width="4.140625" style="3" customWidth="1"/>
    <col min="9479" max="9479" width="5.42578125" style="3" bestFit="1" customWidth="1"/>
    <col min="9480" max="9480" width="3.7109375" style="3" customWidth="1"/>
    <col min="9481" max="9481" width="6.85546875" style="3" bestFit="1" customWidth="1"/>
    <col min="9482" max="9482" width="9.140625" style="3"/>
    <col min="9483" max="9484" width="2" style="3" customWidth="1"/>
    <col min="9485" max="9485" width="8.140625" style="3" customWidth="1"/>
    <col min="9486" max="9487" width="2" style="3" customWidth="1"/>
    <col min="9488" max="9488" width="2.85546875" style="3" customWidth="1"/>
    <col min="9489" max="9489" width="1.28515625" style="3" customWidth="1"/>
    <col min="9490" max="9490" width="11.7109375" style="3" customWidth="1"/>
    <col min="9491" max="9491" width="4.42578125" style="3" customWidth="1"/>
    <col min="9492" max="9492" width="8" style="3" customWidth="1"/>
    <col min="9493" max="9493" width="4.85546875" style="3" customWidth="1"/>
    <col min="9494" max="9494" width="0" style="3" hidden="1" customWidth="1"/>
    <col min="9495" max="9495" width="15.85546875" style="3" bestFit="1" customWidth="1"/>
    <col min="9496" max="9496" width="9.140625" style="3"/>
    <col min="9497" max="9497" width="15.42578125" style="3" bestFit="1" customWidth="1"/>
    <col min="9498" max="9498" width="19.7109375" style="3" bestFit="1" customWidth="1"/>
    <col min="9499" max="9499" width="16.5703125" style="3" bestFit="1" customWidth="1"/>
    <col min="9500" max="9500" width="13.42578125" style="3" bestFit="1" customWidth="1"/>
    <col min="9501" max="9501" width="16.28515625" style="3" bestFit="1" customWidth="1"/>
    <col min="9502" max="9502" width="15.5703125" style="3" bestFit="1" customWidth="1"/>
    <col min="9503" max="9504" width="9.140625" style="3"/>
    <col min="9505" max="9505" width="11.5703125" style="3" bestFit="1" customWidth="1"/>
    <col min="9506" max="9728" width="9.140625" style="3"/>
    <col min="9729" max="9729" width="3.7109375" style="3" customWidth="1"/>
    <col min="9730" max="9730" width="5.5703125" style="3" customWidth="1"/>
    <col min="9731" max="9731" width="9.85546875" style="3" customWidth="1"/>
    <col min="9732" max="9732" width="33" style="3" customWidth="1"/>
    <col min="9733" max="9733" width="8" style="3" bestFit="1" customWidth="1"/>
    <col min="9734" max="9734" width="4.140625" style="3" customWidth="1"/>
    <col min="9735" max="9735" width="5.42578125" style="3" bestFit="1" customWidth="1"/>
    <col min="9736" max="9736" width="3.7109375" style="3" customWidth="1"/>
    <col min="9737" max="9737" width="6.85546875" style="3" bestFit="1" customWidth="1"/>
    <col min="9738" max="9738" width="9.140625" style="3"/>
    <col min="9739" max="9740" width="2" style="3" customWidth="1"/>
    <col min="9741" max="9741" width="8.140625" style="3" customWidth="1"/>
    <col min="9742" max="9743" width="2" style="3" customWidth="1"/>
    <col min="9744" max="9744" width="2.85546875" style="3" customWidth="1"/>
    <col min="9745" max="9745" width="1.28515625" style="3" customWidth="1"/>
    <col min="9746" max="9746" width="11.7109375" style="3" customWidth="1"/>
    <col min="9747" max="9747" width="4.42578125" style="3" customWidth="1"/>
    <col min="9748" max="9748" width="8" style="3" customWidth="1"/>
    <col min="9749" max="9749" width="4.85546875" style="3" customWidth="1"/>
    <col min="9750" max="9750" width="0" style="3" hidden="1" customWidth="1"/>
    <col min="9751" max="9751" width="15.85546875" style="3" bestFit="1" customWidth="1"/>
    <col min="9752" max="9752" width="9.140625" style="3"/>
    <col min="9753" max="9753" width="15.42578125" style="3" bestFit="1" customWidth="1"/>
    <col min="9754" max="9754" width="19.7109375" style="3" bestFit="1" customWidth="1"/>
    <col min="9755" max="9755" width="16.5703125" style="3" bestFit="1" customWidth="1"/>
    <col min="9756" max="9756" width="13.42578125" style="3" bestFit="1" customWidth="1"/>
    <col min="9757" max="9757" width="16.28515625" style="3" bestFit="1" customWidth="1"/>
    <col min="9758" max="9758" width="15.5703125" style="3" bestFit="1" customWidth="1"/>
    <col min="9759" max="9760" width="9.140625" style="3"/>
    <col min="9761" max="9761" width="11.5703125" style="3" bestFit="1" customWidth="1"/>
    <col min="9762" max="9984" width="9.140625" style="3"/>
    <col min="9985" max="9985" width="3.7109375" style="3" customWidth="1"/>
    <col min="9986" max="9986" width="5.5703125" style="3" customWidth="1"/>
    <col min="9987" max="9987" width="9.85546875" style="3" customWidth="1"/>
    <col min="9988" max="9988" width="33" style="3" customWidth="1"/>
    <col min="9989" max="9989" width="8" style="3" bestFit="1" customWidth="1"/>
    <col min="9990" max="9990" width="4.140625" style="3" customWidth="1"/>
    <col min="9991" max="9991" width="5.42578125" style="3" bestFit="1" customWidth="1"/>
    <col min="9992" max="9992" width="3.7109375" style="3" customWidth="1"/>
    <col min="9993" max="9993" width="6.85546875" style="3" bestFit="1" customWidth="1"/>
    <col min="9994" max="9994" width="9.140625" style="3"/>
    <col min="9995" max="9996" width="2" style="3" customWidth="1"/>
    <col min="9997" max="9997" width="8.140625" style="3" customWidth="1"/>
    <col min="9998" max="9999" width="2" style="3" customWidth="1"/>
    <col min="10000" max="10000" width="2.85546875" style="3" customWidth="1"/>
    <col min="10001" max="10001" width="1.28515625" style="3" customWidth="1"/>
    <col min="10002" max="10002" width="11.7109375" style="3" customWidth="1"/>
    <col min="10003" max="10003" width="4.42578125" style="3" customWidth="1"/>
    <col min="10004" max="10004" width="8" style="3" customWidth="1"/>
    <col min="10005" max="10005" width="4.85546875" style="3" customWidth="1"/>
    <col min="10006" max="10006" width="0" style="3" hidden="1" customWidth="1"/>
    <col min="10007" max="10007" width="15.85546875" style="3" bestFit="1" customWidth="1"/>
    <col min="10008" max="10008" width="9.140625" style="3"/>
    <col min="10009" max="10009" width="15.42578125" style="3" bestFit="1" customWidth="1"/>
    <col min="10010" max="10010" width="19.7109375" style="3" bestFit="1" customWidth="1"/>
    <col min="10011" max="10011" width="16.5703125" style="3" bestFit="1" customWidth="1"/>
    <col min="10012" max="10012" width="13.42578125" style="3" bestFit="1" customWidth="1"/>
    <col min="10013" max="10013" width="16.28515625" style="3" bestFit="1" customWidth="1"/>
    <col min="10014" max="10014" width="15.5703125" style="3" bestFit="1" customWidth="1"/>
    <col min="10015" max="10016" width="9.140625" style="3"/>
    <col min="10017" max="10017" width="11.5703125" style="3" bestFit="1" customWidth="1"/>
    <col min="10018" max="10240" width="9.140625" style="3"/>
    <col min="10241" max="10241" width="3.7109375" style="3" customWidth="1"/>
    <col min="10242" max="10242" width="5.5703125" style="3" customWidth="1"/>
    <col min="10243" max="10243" width="9.85546875" style="3" customWidth="1"/>
    <col min="10244" max="10244" width="33" style="3" customWidth="1"/>
    <col min="10245" max="10245" width="8" style="3" bestFit="1" customWidth="1"/>
    <col min="10246" max="10246" width="4.140625" style="3" customWidth="1"/>
    <col min="10247" max="10247" width="5.42578125" style="3" bestFit="1" customWidth="1"/>
    <col min="10248" max="10248" width="3.7109375" style="3" customWidth="1"/>
    <col min="10249" max="10249" width="6.85546875" style="3" bestFit="1" customWidth="1"/>
    <col min="10250" max="10250" width="9.140625" style="3"/>
    <col min="10251" max="10252" width="2" style="3" customWidth="1"/>
    <col min="10253" max="10253" width="8.140625" style="3" customWidth="1"/>
    <col min="10254" max="10255" width="2" style="3" customWidth="1"/>
    <col min="10256" max="10256" width="2.85546875" style="3" customWidth="1"/>
    <col min="10257" max="10257" width="1.28515625" style="3" customWidth="1"/>
    <col min="10258" max="10258" width="11.7109375" style="3" customWidth="1"/>
    <col min="10259" max="10259" width="4.42578125" style="3" customWidth="1"/>
    <col min="10260" max="10260" width="8" style="3" customWidth="1"/>
    <col min="10261" max="10261" width="4.85546875" style="3" customWidth="1"/>
    <col min="10262" max="10262" width="0" style="3" hidden="1" customWidth="1"/>
    <col min="10263" max="10263" width="15.85546875" style="3" bestFit="1" customWidth="1"/>
    <col min="10264" max="10264" width="9.140625" style="3"/>
    <col min="10265" max="10265" width="15.42578125" style="3" bestFit="1" customWidth="1"/>
    <col min="10266" max="10266" width="19.7109375" style="3" bestFit="1" customWidth="1"/>
    <col min="10267" max="10267" width="16.5703125" style="3" bestFit="1" customWidth="1"/>
    <col min="10268" max="10268" width="13.42578125" style="3" bestFit="1" customWidth="1"/>
    <col min="10269" max="10269" width="16.28515625" style="3" bestFit="1" customWidth="1"/>
    <col min="10270" max="10270" width="15.5703125" style="3" bestFit="1" customWidth="1"/>
    <col min="10271" max="10272" width="9.140625" style="3"/>
    <col min="10273" max="10273" width="11.5703125" style="3" bestFit="1" customWidth="1"/>
    <col min="10274" max="10496" width="9.140625" style="3"/>
    <col min="10497" max="10497" width="3.7109375" style="3" customWidth="1"/>
    <col min="10498" max="10498" width="5.5703125" style="3" customWidth="1"/>
    <col min="10499" max="10499" width="9.85546875" style="3" customWidth="1"/>
    <col min="10500" max="10500" width="33" style="3" customWidth="1"/>
    <col min="10501" max="10501" width="8" style="3" bestFit="1" customWidth="1"/>
    <col min="10502" max="10502" width="4.140625" style="3" customWidth="1"/>
    <col min="10503" max="10503" width="5.42578125" style="3" bestFit="1" customWidth="1"/>
    <col min="10504" max="10504" width="3.7109375" style="3" customWidth="1"/>
    <col min="10505" max="10505" width="6.85546875" style="3" bestFit="1" customWidth="1"/>
    <col min="10506" max="10506" width="9.140625" style="3"/>
    <col min="10507" max="10508" width="2" style="3" customWidth="1"/>
    <col min="10509" max="10509" width="8.140625" style="3" customWidth="1"/>
    <col min="10510" max="10511" width="2" style="3" customWidth="1"/>
    <col min="10512" max="10512" width="2.85546875" style="3" customWidth="1"/>
    <col min="10513" max="10513" width="1.28515625" style="3" customWidth="1"/>
    <col min="10514" max="10514" width="11.7109375" style="3" customWidth="1"/>
    <col min="10515" max="10515" width="4.42578125" style="3" customWidth="1"/>
    <col min="10516" max="10516" width="8" style="3" customWidth="1"/>
    <col min="10517" max="10517" width="4.85546875" style="3" customWidth="1"/>
    <col min="10518" max="10518" width="0" style="3" hidden="1" customWidth="1"/>
    <col min="10519" max="10519" width="15.85546875" style="3" bestFit="1" customWidth="1"/>
    <col min="10520" max="10520" width="9.140625" style="3"/>
    <col min="10521" max="10521" width="15.42578125" style="3" bestFit="1" customWidth="1"/>
    <col min="10522" max="10522" width="19.7109375" style="3" bestFit="1" customWidth="1"/>
    <col min="10523" max="10523" width="16.5703125" style="3" bestFit="1" customWidth="1"/>
    <col min="10524" max="10524" width="13.42578125" style="3" bestFit="1" customWidth="1"/>
    <col min="10525" max="10525" width="16.28515625" style="3" bestFit="1" customWidth="1"/>
    <col min="10526" max="10526" width="15.5703125" style="3" bestFit="1" customWidth="1"/>
    <col min="10527" max="10528" width="9.140625" style="3"/>
    <col min="10529" max="10529" width="11.5703125" style="3" bestFit="1" customWidth="1"/>
    <col min="10530" max="10752" width="9.140625" style="3"/>
    <col min="10753" max="10753" width="3.7109375" style="3" customWidth="1"/>
    <col min="10754" max="10754" width="5.5703125" style="3" customWidth="1"/>
    <col min="10755" max="10755" width="9.85546875" style="3" customWidth="1"/>
    <col min="10756" max="10756" width="33" style="3" customWidth="1"/>
    <col min="10757" max="10757" width="8" style="3" bestFit="1" customWidth="1"/>
    <col min="10758" max="10758" width="4.140625" style="3" customWidth="1"/>
    <col min="10759" max="10759" width="5.42578125" style="3" bestFit="1" customWidth="1"/>
    <col min="10760" max="10760" width="3.7109375" style="3" customWidth="1"/>
    <col min="10761" max="10761" width="6.85546875" style="3" bestFit="1" customWidth="1"/>
    <col min="10762" max="10762" width="9.140625" style="3"/>
    <col min="10763" max="10764" width="2" style="3" customWidth="1"/>
    <col min="10765" max="10765" width="8.140625" style="3" customWidth="1"/>
    <col min="10766" max="10767" width="2" style="3" customWidth="1"/>
    <col min="10768" max="10768" width="2.85546875" style="3" customWidth="1"/>
    <col min="10769" max="10769" width="1.28515625" style="3" customWidth="1"/>
    <col min="10770" max="10770" width="11.7109375" style="3" customWidth="1"/>
    <col min="10771" max="10771" width="4.42578125" style="3" customWidth="1"/>
    <col min="10772" max="10772" width="8" style="3" customWidth="1"/>
    <col min="10773" max="10773" width="4.85546875" style="3" customWidth="1"/>
    <col min="10774" max="10774" width="0" style="3" hidden="1" customWidth="1"/>
    <col min="10775" max="10775" width="15.85546875" style="3" bestFit="1" customWidth="1"/>
    <col min="10776" max="10776" width="9.140625" style="3"/>
    <col min="10777" max="10777" width="15.42578125" style="3" bestFit="1" customWidth="1"/>
    <col min="10778" max="10778" width="19.7109375" style="3" bestFit="1" customWidth="1"/>
    <col min="10779" max="10779" width="16.5703125" style="3" bestFit="1" customWidth="1"/>
    <col min="10780" max="10780" width="13.42578125" style="3" bestFit="1" customWidth="1"/>
    <col min="10781" max="10781" width="16.28515625" style="3" bestFit="1" customWidth="1"/>
    <col min="10782" max="10782" width="15.5703125" style="3" bestFit="1" customWidth="1"/>
    <col min="10783" max="10784" width="9.140625" style="3"/>
    <col min="10785" max="10785" width="11.5703125" style="3" bestFit="1" customWidth="1"/>
    <col min="10786" max="11008" width="9.140625" style="3"/>
    <col min="11009" max="11009" width="3.7109375" style="3" customWidth="1"/>
    <col min="11010" max="11010" width="5.5703125" style="3" customWidth="1"/>
    <col min="11011" max="11011" width="9.85546875" style="3" customWidth="1"/>
    <col min="11012" max="11012" width="33" style="3" customWidth="1"/>
    <col min="11013" max="11013" width="8" style="3" bestFit="1" customWidth="1"/>
    <col min="11014" max="11014" width="4.140625" style="3" customWidth="1"/>
    <col min="11015" max="11015" width="5.42578125" style="3" bestFit="1" customWidth="1"/>
    <col min="11016" max="11016" width="3.7109375" style="3" customWidth="1"/>
    <col min="11017" max="11017" width="6.85546875" style="3" bestFit="1" customWidth="1"/>
    <col min="11018" max="11018" width="9.140625" style="3"/>
    <col min="11019" max="11020" width="2" style="3" customWidth="1"/>
    <col min="11021" max="11021" width="8.140625" style="3" customWidth="1"/>
    <col min="11022" max="11023" width="2" style="3" customWidth="1"/>
    <col min="11024" max="11024" width="2.85546875" style="3" customWidth="1"/>
    <col min="11025" max="11025" width="1.28515625" style="3" customWidth="1"/>
    <col min="11026" max="11026" width="11.7109375" style="3" customWidth="1"/>
    <col min="11027" max="11027" width="4.42578125" style="3" customWidth="1"/>
    <col min="11028" max="11028" width="8" style="3" customWidth="1"/>
    <col min="11029" max="11029" width="4.85546875" style="3" customWidth="1"/>
    <col min="11030" max="11030" width="0" style="3" hidden="1" customWidth="1"/>
    <col min="11031" max="11031" width="15.85546875" style="3" bestFit="1" customWidth="1"/>
    <col min="11032" max="11032" width="9.140625" style="3"/>
    <col min="11033" max="11033" width="15.42578125" style="3" bestFit="1" customWidth="1"/>
    <col min="11034" max="11034" width="19.7109375" style="3" bestFit="1" customWidth="1"/>
    <col min="11035" max="11035" width="16.5703125" style="3" bestFit="1" customWidth="1"/>
    <col min="11036" max="11036" width="13.42578125" style="3" bestFit="1" customWidth="1"/>
    <col min="11037" max="11037" width="16.28515625" style="3" bestFit="1" customWidth="1"/>
    <col min="11038" max="11038" width="15.5703125" style="3" bestFit="1" customWidth="1"/>
    <col min="11039" max="11040" width="9.140625" style="3"/>
    <col min="11041" max="11041" width="11.5703125" style="3" bestFit="1" customWidth="1"/>
    <col min="11042" max="11264" width="9.140625" style="3"/>
    <col min="11265" max="11265" width="3.7109375" style="3" customWidth="1"/>
    <col min="11266" max="11266" width="5.5703125" style="3" customWidth="1"/>
    <col min="11267" max="11267" width="9.85546875" style="3" customWidth="1"/>
    <col min="11268" max="11268" width="33" style="3" customWidth="1"/>
    <col min="11269" max="11269" width="8" style="3" bestFit="1" customWidth="1"/>
    <col min="11270" max="11270" width="4.140625" style="3" customWidth="1"/>
    <col min="11271" max="11271" width="5.42578125" style="3" bestFit="1" customWidth="1"/>
    <col min="11272" max="11272" width="3.7109375" style="3" customWidth="1"/>
    <col min="11273" max="11273" width="6.85546875" style="3" bestFit="1" customWidth="1"/>
    <col min="11274" max="11274" width="9.140625" style="3"/>
    <col min="11275" max="11276" width="2" style="3" customWidth="1"/>
    <col min="11277" max="11277" width="8.140625" style="3" customWidth="1"/>
    <col min="11278" max="11279" width="2" style="3" customWidth="1"/>
    <col min="11280" max="11280" width="2.85546875" style="3" customWidth="1"/>
    <col min="11281" max="11281" width="1.28515625" style="3" customWidth="1"/>
    <col min="11282" max="11282" width="11.7109375" style="3" customWidth="1"/>
    <col min="11283" max="11283" width="4.42578125" style="3" customWidth="1"/>
    <col min="11284" max="11284" width="8" style="3" customWidth="1"/>
    <col min="11285" max="11285" width="4.85546875" style="3" customWidth="1"/>
    <col min="11286" max="11286" width="0" style="3" hidden="1" customWidth="1"/>
    <col min="11287" max="11287" width="15.85546875" style="3" bestFit="1" customWidth="1"/>
    <col min="11288" max="11288" width="9.140625" style="3"/>
    <col min="11289" max="11289" width="15.42578125" style="3" bestFit="1" customWidth="1"/>
    <col min="11290" max="11290" width="19.7109375" style="3" bestFit="1" customWidth="1"/>
    <col min="11291" max="11291" width="16.5703125" style="3" bestFit="1" customWidth="1"/>
    <col min="11292" max="11292" width="13.42578125" style="3" bestFit="1" customWidth="1"/>
    <col min="11293" max="11293" width="16.28515625" style="3" bestFit="1" customWidth="1"/>
    <col min="11294" max="11294" width="15.5703125" style="3" bestFit="1" customWidth="1"/>
    <col min="11295" max="11296" width="9.140625" style="3"/>
    <col min="11297" max="11297" width="11.5703125" style="3" bestFit="1" customWidth="1"/>
    <col min="11298" max="11520" width="9.140625" style="3"/>
    <col min="11521" max="11521" width="3.7109375" style="3" customWidth="1"/>
    <col min="11522" max="11522" width="5.5703125" style="3" customWidth="1"/>
    <col min="11523" max="11523" width="9.85546875" style="3" customWidth="1"/>
    <col min="11524" max="11524" width="33" style="3" customWidth="1"/>
    <col min="11525" max="11525" width="8" style="3" bestFit="1" customWidth="1"/>
    <col min="11526" max="11526" width="4.140625" style="3" customWidth="1"/>
    <col min="11527" max="11527" width="5.42578125" style="3" bestFit="1" customWidth="1"/>
    <col min="11528" max="11528" width="3.7109375" style="3" customWidth="1"/>
    <col min="11529" max="11529" width="6.85546875" style="3" bestFit="1" customWidth="1"/>
    <col min="11530" max="11530" width="9.140625" style="3"/>
    <col min="11531" max="11532" width="2" style="3" customWidth="1"/>
    <col min="11533" max="11533" width="8.140625" style="3" customWidth="1"/>
    <col min="11534" max="11535" width="2" style="3" customWidth="1"/>
    <col min="11536" max="11536" width="2.85546875" style="3" customWidth="1"/>
    <col min="11537" max="11537" width="1.28515625" style="3" customWidth="1"/>
    <col min="11538" max="11538" width="11.7109375" style="3" customWidth="1"/>
    <col min="11539" max="11539" width="4.42578125" style="3" customWidth="1"/>
    <col min="11540" max="11540" width="8" style="3" customWidth="1"/>
    <col min="11541" max="11541" width="4.85546875" style="3" customWidth="1"/>
    <col min="11542" max="11542" width="0" style="3" hidden="1" customWidth="1"/>
    <col min="11543" max="11543" width="15.85546875" style="3" bestFit="1" customWidth="1"/>
    <col min="11544" max="11544" width="9.140625" style="3"/>
    <col min="11545" max="11545" width="15.42578125" style="3" bestFit="1" customWidth="1"/>
    <col min="11546" max="11546" width="19.7109375" style="3" bestFit="1" customWidth="1"/>
    <col min="11547" max="11547" width="16.5703125" style="3" bestFit="1" customWidth="1"/>
    <col min="11548" max="11548" width="13.42578125" style="3" bestFit="1" customWidth="1"/>
    <col min="11549" max="11549" width="16.28515625" style="3" bestFit="1" customWidth="1"/>
    <col min="11550" max="11550" width="15.5703125" style="3" bestFit="1" customWidth="1"/>
    <col min="11551" max="11552" width="9.140625" style="3"/>
    <col min="11553" max="11553" width="11.5703125" style="3" bestFit="1" customWidth="1"/>
    <col min="11554" max="11776" width="9.140625" style="3"/>
    <col min="11777" max="11777" width="3.7109375" style="3" customWidth="1"/>
    <col min="11778" max="11778" width="5.5703125" style="3" customWidth="1"/>
    <col min="11779" max="11779" width="9.85546875" style="3" customWidth="1"/>
    <col min="11780" max="11780" width="33" style="3" customWidth="1"/>
    <col min="11781" max="11781" width="8" style="3" bestFit="1" customWidth="1"/>
    <col min="11782" max="11782" width="4.140625" style="3" customWidth="1"/>
    <col min="11783" max="11783" width="5.42578125" style="3" bestFit="1" customWidth="1"/>
    <col min="11784" max="11784" width="3.7109375" style="3" customWidth="1"/>
    <col min="11785" max="11785" width="6.85546875" style="3" bestFit="1" customWidth="1"/>
    <col min="11786" max="11786" width="9.140625" style="3"/>
    <col min="11787" max="11788" width="2" style="3" customWidth="1"/>
    <col min="11789" max="11789" width="8.140625" style="3" customWidth="1"/>
    <col min="11790" max="11791" width="2" style="3" customWidth="1"/>
    <col min="11792" max="11792" width="2.85546875" style="3" customWidth="1"/>
    <col min="11793" max="11793" width="1.28515625" style="3" customWidth="1"/>
    <col min="11794" max="11794" width="11.7109375" style="3" customWidth="1"/>
    <col min="11795" max="11795" width="4.42578125" style="3" customWidth="1"/>
    <col min="11796" max="11796" width="8" style="3" customWidth="1"/>
    <col min="11797" max="11797" width="4.85546875" style="3" customWidth="1"/>
    <col min="11798" max="11798" width="0" style="3" hidden="1" customWidth="1"/>
    <col min="11799" max="11799" width="15.85546875" style="3" bestFit="1" customWidth="1"/>
    <col min="11800" max="11800" width="9.140625" style="3"/>
    <col min="11801" max="11801" width="15.42578125" style="3" bestFit="1" customWidth="1"/>
    <col min="11802" max="11802" width="19.7109375" style="3" bestFit="1" customWidth="1"/>
    <col min="11803" max="11803" width="16.5703125" style="3" bestFit="1" customWidth="1"/>
    <col min="11804" max="11804" width="13.42578125" style="3" bestFit="1" customWidth="1"/>
    <col min="11805" max="11805" width="16.28515625" style="3" bestFit="1" customWidth="1"/>
    <col min="11806" max="11806" width="15.5703125" style="3" bestFit="1" customWidth="1"/>
    <col min="11807" max="11808" width="9.140625" style="3"/>
    <col min="11809" max="11809" width="11.5703125" style="3" bestFit="1" customWidth="1"/>
    <col min="11810" max="12032" width="9.140625" style="3"/>
    <col min="12033" max="12033" width="3.7109375" style="3" customWidth="1"/>
    <col min="12034" max="12034" width="5.5703125" style="3" customWidth="1"/>
    <col min="12035" max="12035" width="9.85546875" style="3" customWidth="1"/>
    <col min="12036" max="12036" width="33" style="3" customWidth="1"/>
    <col min="12037" max="12037" width="8" style="3" bestFit="1" customWidth="1"/>
    <col min="12038" max="12038" width="4.140625" style="3" customWidth="1"/>
    <col min="12039" max="12039" width="5.42578125" style="3" bestFit="1" customWidth="1"/>
    <col min="12040" max="12040" width="3.7109375" style="3" customWidth="1"/>
    <col min="12041" max="12041" width="6.85546875" style="3" bestFit="1" customWidth="1"/>
    <col min="12042" max="12042" width="9.140625" style="3"/>
    <col min="12043" max="12044" width="2" style="3" customWidth="1"/>
    <col min="12045" max="12045" width="8.140625" style="3" customWidth="1"/>
    <col min="12046" max="12047" width="2" style="3" customWidth="1"/>
    <col min="12048" max="12048" width="2.85546875" style="3" customWidth="1"/>
    <col min="12049" max="12049" width="1.28515625" style="3" customWidth="1"/>
    <col min="12050" max="12050" width="11.7109375" style="3" customWidth="1"/>
    <col min="12051" max="12051" width="4.42578125" style="3" customWidth="1"/>
    <col min="12052" max="12052" width="8" style="3" customWidth="1"/>
    <col min="12053" max="12053" width="4.85546875" style="3" customWidth="1"/>
    <col min="12054" max="12054" width="0" style="3" hidden="1" customWidth="1"/>
    <col min="12055" max="12055" width="15.85546875" style="3" bestFit="1" customWidth="1"/>
    <col min="12056" max="12056" width="9.140625" style="3"/>
    <col min="12057" max="12057" width="15.42578125" style="3" bestFit="1" customWidth="1"/>
    <col min="12058" max="12058" width="19.7109375" style="3" bestFit="1" customWidth="1"/>
    <col min="12059" max="12059" width="16.5703125" style="3" bestFit="1" customWidth="1"/>
    <col min="12060" max="12060" width="13.42578125" style="3" bestFit="1" customWidth="1"/>
    <col min="12061" max="12061" width="16.28515625" style="3" bestFit="1" customWidth="1"/>
    <col min="12062" max="12062" width="15.5703125" style="3" bestFit="1" customWidth="1"/>
    <col min="12063" max="12064" width="9.140625" style="3"/>
    <col min="12065" max="12065" width="11.5703125" style="3" bestFit="1" customWidth="1"/>
    <col min="12066" max="12288" width="9.140625" style="3"/>
    <col min="12289" max="12289" width="3.7109375" style="3" customWidth="1"/>
    <col min="12290" max="12290" width="5.5703125" style="3" customWidth="1"/>
    <col min="12291" max="12291" width="9.85546875" style="3" customWidth="1"/>
    <col min="12292" max="12292" width="33" style="3" customWidth="1"/>
    <col min="12293" max="12293" width="8" style="3" bestFit="1" customWidth="1"/>
    <col min="12294" max="12294" width="4.140625" style="3" customWidth="1"/>
    <col min="12295" max="12295" width="5.42578125" style="3" bestFit="1" customWidth="1"/>
    <col min="12296" max="12296" width="3.7109375" style="3" customWidth="1"/>
    <col min="12297" max="12297" width="6.85546875" style="3" bestFit="1" customWidth="1"/>
    <col min="12298" max="12298" width="9.140625" style="3"/>
    <col min="12299" max="12300" width="2" style="3" customWidth="1"/>
    <col min="12301" max="12301" width="8.140625" style="3" customWidth="1"/>
    <col min="12302" max="12303" width="2" style="3" customWidth="1"/>
    <col min="12304" max="12304" width="2.85546875" style="3" customWidth="1"/>
    <col min="12305" max="12305" width="1.28515625" style="3" customWidth="1"/>
    <col min="12306" max="12306" width="11.7109375" style="3" customWidth="1"/>
    <col min="12307" max="12307" width="4.42578125" style="3" customWidth="1"/>
    <col min="12308" max="12308" width="8" style="3" customWidth="1"/>
    <col min="12309" max="12309" width="4.85546875" style="3" customWidth="1"/>
    <col min="12310" max="12310" width="0" style="3" hidden="1" customWidth="1"/>
    <col min="12311" max="12311" width="15.85546875" style="3" bestFit="1" customWidth="1"/>
    <col min="12312" max="12312" width="9.140625" style="3"/>
    <col min="12313" max="12313" width="15.42578125" style="3" bestFit="1" customWidth="1"/>
    <col min="12314" max="12314" width="19.7109375" style="3" bestFit="1" customWidth="1"/>
    <col min="12315" max="12315" width="16.5703125" style="3" bestFit="1" customWidth="1"/>
    <col min="12316" max="12316" width="13.42578125" style="3" bestFit="1" customWidth="1"/>
    <col min="12317" max="12317" width="16.28515625" style="3" bestFit="1" customWidth="1"/>
    <col min="12318" max="12318" width="15.5703125" style="3" bestFit="1" customWidth="1"/>
    <col min="12319" max="12320" width="9.140625" style="3"/>
    <col min="12321" max="12321" width="11.5703125" style="3" bestFit="1" customWidth="1"/>
    <col min="12322" max="12544" width="9.140625" style="3"/>
    <col min="12545" max="12545" width="3.7109375" style="3" customWidth="1"/>
    <col min="12546" max="12546" width="5.5703125" style="3" customWidth="1"/>
    <col min="12547" max="12547" width="9.85546875" style="3" customWidth="1"/>
    <col min="12548" max="12548" width="33" style="3" customWidth="1"/>
    <col min="12549" max="12549" width="8" style="3" bestFit="1" customWidth="1"/>
    <col min="12550" max="12550" width="4.140625" style="3" customWidth="1"/>
    <col min="12551" max="12551" width="5.42578125" style="3" bestFit="1" customWidth="1"/>
    <col min="12552" max="12552" width="3.7109375" style="3" customWidth="1"/>
    <col min="12553" max="12553" width="6.85546875" style="3" bestFit="1" customWidth="1"/>
    <col min="12554" max="12554" width="9.140625" style="3"/>
    <col min="12555" max="12556" width="2" style="3" customWidth="1"/>
    <col min="12557" max="12557" width="8.140625" style="3" customWidth="1"/>
    <col min="12558" max="12559" width="2" style="3" customWidth="1"/>
    <col min="12560" max="12560" width="2.85546875" style="3" customWidth="1"/>
    <col min="12561" max="12561" width="1.28515625" style="3" customWidth="1"/>
    <col min="12562" max="12562" width="11.7109375" style="3" customWidth="1"/>
    <col min="12563" max="12563" width="4.42578125" style="3" customWidth="1"/>
    <col min="12564" max="12564" width="8" style="3" customWidth="1"/>
    <col min="12565" max="12565" width="4.85546875" style="3" customWidth="1"/>
    <col min="12566" max="12566" width="0" style="3" hidden="1" customWidth="1"/>
    <col min="12567" max="12567" width="15.85546875" style="3" bestFit="1" customWidth="1"/>
    <col min="12568" max="12568" width="9.140625" style="3"/>
    <col min="12569" max="12569" width="15.42578125" style="3" bestFit="1" customWidth="1"/>
    <col min="12570" max="12570" width="19.7109375" style="3" bestFit="1" customWidth="1"/>
    <col min="12571" max="12571" width="16.5703125" style="3" bestFit="1" customWidth="1"/>
    <col min="12572" max="12572" width="13.42578125" style="3" bestFit="1" customWidth="1"/>
    <col min="12573" max="12573" width="16.28515625" style="3" bestFit="1" customWidth="1"/>
    <col min="12574" max="12574" width="15.5703125" style="3" bestFit="1" customWidth="1"/>
    <col min="12575" max="12576" width="9.140625" style="3"/>
    <col min="12577" max="12577" width="11.5703125" style="3" bestFit="1" customWidth="1"/>
    <col min="12578" max="12800" width="9.140625" style="3"/>
    <col min="12801" max="12801" width="3.7109375" style="3" customWidth="1"/>
    <col min="12802" max="12802" width="5.5703125" style="3" customWidth="1"/>
    <col min="12803" max="12803" width="9.85546875" style="3" customWidth="1"/>
    <col min="12804" max="12804" width="33" style="3" customWidth="1"/>
    <col min="12805" max="12805" width="8" style="3" bestFit="1" customWidth="1"/>
    <col min="12806" max="12806" width="4.140625" style="3" customWidth="1"/>
    <col min="12807" max="12807" width="5.42578125" style="3" bestFit="1" customWidth="1"/>
    <col min="12808" max="12808" width="3.7109375" style="3" customWidth="1"/>
    <col min="12809" max="12809" width="6.85546875" style="3" bestFit="1" customWidth="1"/>
    <col min="12810" max="12810" width="9.140625" style="3"/>
    <col min="12811" max="12812" width="2" style="3" customWidth="1"/>
    <col min="12813" max="12813" width="8.140625" style="3" customWidth="1"/>
    <col min="12814" max="12815" width="2" style="3" customWidth="1"/>
    <col min="12816" max="12816" width="2.85546875" style="3" customWidth="1"/>
    <col min="12817" max="12817" width="1.28515625" style="3" customWidth="1"/>
    <col min="12818" max="12818" width="11.7109375" style="3" customWidth="1"/>
    <col min="12819" max="12819" width="4.42578125" style="3" customWidth="1"/>
    <col min="12820" max="12820" width="8" style="3" customWidth="1"/>
    <col min="12821" max="12821" width="4.85546875" style="3" customWidth="1"/>
    <col min="12822" max="12822" width="0" style="3" hidden="1" customWidth="1"/>
    <col min="12823" max="12823" width="15.85546875" style="3" bestFit="1" customWidth="1"/>
    <col min="12824" max="12824" width="9.140625" style="3"/>
    <col min="12825" max="12825" width="15.42578125" style="3" bestFit="1" customWidth="1"/>
    <col min="12826" max="12826" width="19.7109375" style="3" bestFit="1" customWidth="1"/>
    <col min="12827" max="12827" width="16.5703125" style="3" bestFit="1" customWidth="1"/>
    <col min="12828" max="12828" width="13.42578125" style="3" bestFit="1" customWidth="1"/>
    <col min="12829" max="12829" width="16.28515625" style="3" bestFit="1" customWidth="1"/>
    <col min="12830" max="12830" width="15.5703125" style="3" bestFit="1" customWidth="1"/>
    <col min="12831" max="12832" width="9.140625" style="3"/>
    <col min="12833" max="12833" width="11.5703125" style="3" bestFit="1" customWidth="1"/>
    <col min="12834" max="13056" width="9.140625" style="3"/>
    <col min="13057" max="13057" width="3.7109375" style="3" customWidth="1"/>
    <col min="13058" max="13058" width="5.5703125" style="3" customWidth="1"/>
    <col min="13059" max="13059" width="9.85546875" style="3" customWidth="1"/>
    <col min="13060" max="13060" width="33" style="3" customWidth="1"/>
    <col min="13061" max="13061" width="8" style="3" bestFit="1" customWidth="1"/>
    <col min="13062" max="13062" width="4.140625" style="3" customWidth="1"/>
    <col min="13063" max="13063" width="5.42578125" style="3" bestFit="1" customWidth="1"/>
    <col min="13064" max="13064" width="3.7109375" style="3" customWidth="1"/>
    <col min="13065" max="13065" width="6.85546875" style="3" bestFit="1" customWidth="1"/>
    <col min="13066" max="13066" width="9.140625" style="3"/>
    <col min="13067" max="13068" width="2" style="3" customWidth="1"/>
    <col min="13069" max="13069" width="8.140625" style="3" customWidth="1"/>
    <col min="13070" max="13071" width="2" style="3" customWidth="1"/>
    <col min="13072" max="13072" width="2.85546875" style="3" customWidth="1"/>
    <col min="13073" max="13073" width="1.28515625" style="3" customWidth="1"/>
    <col min="13074" max="13074" width="11.7109375" style="3" customWidth="1"/>
    <col min="13075" max="13075" width="4.42578125" style="3" customWidth="1"/>
    <col min="13076" max="13076" width="8" style="3" customWidth="1"/>
    <col min="13077" max="13077" width="4.85546875" style="3" customWidth="1"/>
    <col min="13078" max="13078" width="0" style="3" hidden="1" customWidth="1"/>
    <col min="13079" max="13079" width="15.85546875" style="3" bestFit="1" customWidth="1"/>
    <col min="13080" max="13080" width="9.140625" style="3"/>
    <col min="13081" max="13081" width="15.42578125" style="3" bestFit="1" customWidth="1"/>
    <col min="13082" max="13082" width="19.7109375" style="3" bestFit="1" customWidth="1"/>
    <col min="13083" max="13083" width="16.5703125" style="3" bestFit="1" customWidth="1"/>
    <col min="13084" max="13084" width="13.42578125" style="3" bestFit="1" customWidth="1"/>
    <col min="13085" max="13085" width="16.28515625" style="3" bestFit="1" customWidth="1"/>
    <col min="13086" max="13086" width="15.5703125" style="3" bestFit="1" customWidth="1"/>
    <col min="13087" max="13088" width="9.140625" style="3"/>
    <col min="13089" max="13089" width="11.5703125" style="3" bestFit="1" customWidth="1"/>
    <col min="13090" max="13312" width="9.140625" style="3"/>
    <col min="13313" max="13313" width="3.7109375" style="3" customWidth="1"/>
    <col min="13314" max="13314" width="5.5703125" style="3" customWidth="1"/>
    <col min="13315" max="13315" width="9.85546875" style="3" customWidth="1"/>
    <col min="13316" max="13316" width="33" style="3" customWidth="1"/>
    <col min="13317" max="13317" width="8" style="3" bestFit="1" customWidth="1"/>
    <col min="13318" max="13318" width="4.140625" style="3" customWidth="1"/>
    <col min="13319" max="13319" width="5.42578125" style="3" bestFit="1" customWidth="1"/>
    <col min="13320" max="13320" width="3.7109375" style="3" customWidth="1"/>
    <col min="13321" max="13321" width="6.85546875" style="3" bestFit="1" customWidth="1"/>
    <col min="13322" max="13322" width="9.140625" style="3"/>
    <col min="13323" max="13324" width="2" style="3" customWidth="1"/>
    <col min="13325" max="13325" width="8.140625" style="3" customWidth="1"/>
    <col min="13326" max="13327" width="2" style="3" customWidth="1"/>
    <col min="13328" max="13328" width="2.85546875" style="3" customWidth="1"/>
    <col min="13329" max="13329" width="1.28515625" style="3" customWidth="1"/>
    <col min="13330" max="13330" width="11.7109375" style="3" customWidth="1"/>
    <col min="13331" max="13331" width="4.42578125" style="3" customWidth="1"/>
    <col min="13332" max="13332" width="8" style="3" customWidth="1"/>
    <col min="13333" max="13333" width="4.85546875" style="3" customWidth="1"/>
    <col min="13334" max="13334" width="0" style="3" hidden="1" customWidth="1"/>
    <col min="13335" max="13335" width="15.85546875" style="3" bestFit="1" customWidth="1"/>
    <col min="13336" max="13336" width="9.140625" style="3"/>
    <col min="13337" max="13337" width="15.42578125" style="3" bestFit="1" customWidth="1"/>
    <col min="13338" max="13338" width="19.7109375" style="3" bestFit="1" customWidth="1"/>
    <col min="13339" max="13339" width="16.5703125" style="3" bestFit="1" customWidth="1"/>
    <col min="13340" max="13340" width="13.42578125" style="3" bestFit="1" customWidth="1"/>
    <col min="13341" max="13341" width="16.28515625" style="3" bestFit="1" customWidth="1"/>
    <col min="13342" max="13342" width="15.5703125" style="3" bestFit="1" customWidth="1"/>
    <col min="13343" max="13344" width="9.140625" style="3"/>
    <col min="13345" max="13345" width="11.5703125" style="3" bestFit="1" customWidth="1"/>
    <col min="13346" max="13568" width="9.140625" style="3"/>
    <col min="13569" max="13569" width="3.7109375" style="3" customWidth="1"/>
    <col min="13570" max="13570" width="5.5703125" style="3" customWidth="1"/>
    <col min="13571" max="13571" width="9.85546875" style="3" customWidth="1"/>
    <col min="13572" max="13572" width="33" style="3" customWidth="1"/>
    <col min="13573" max="13573" width="8" style="3" bestFit="1" customWidth="1"/>
    <col min="13574" max="13574" width="4.140625" style="3" customWidth="1"/>
    <col min="13575" max="13575" width="5.42578125" style="3" bestFit="1" customWidth="1"/>
    <col min="13576" max="13576" width="3.7109375" style="3" customWidth="1"/>
    <col min="13577" max="13577" width="6.85546875" style="3" bestFit="1" customWidth="1"/>
    <col min="13578" max="13578" width="9.140625" style="3"/>
    <col min="13579" max="13580" width="2" style="3" customWidth="1"/>
    <col min="13581" max="13581" width="8.140625" style="3" customWidth="1"/>
    <col min="13582" max="13583" width="2" style="3" customWidth="1"/>
    <col min="13584" max="13584" width="2.85546875" style="3" customWidth="1"/>
    <col min="13585" max="13585" width="1.28515625" style="3" customWidth="1"/>
    <col min="13586" max="13586" width="11.7109375" style="3" customWidth="1"/>
    <col min="13587" max="13587" width="4.42578125" style="3" customWidth="1"/>
    <col min="13588" max="13588" width="8" style="3" customWidth="1"/>
    <col min="13589" max="13589" width="4.85546875" style="3" customWidth="1"/>
    <col min="13590" max="13590" width="0" style="3" hidden="1" customWidth="1"/>
    <col min="13591" max="13591" width="15.85546875" style="3" bestFit="1" customWidth="1"/>
    <col min="13592" max="13592" width="9.140625" style="3"/>
    <col min="13593" max="13593" width="15.42578125" style="3" bestFit="1" customWidth="1"/>
    <col min="13594" max="13594" width="19.7109375" style="3" bestFit="1" customWidth="1"/>
    <col min="13595" max="13595" width="16.5703125" style="3" bestFit="1" customWidth="1"/>
    <col min="13596" max="13596" width="13.42578125" style="3" bestFit="1" customWidth="1"/>
    <col min="13597" max="13597" width="16.28515625" style="3" bestFit="1" customWidth="1"/>
    <col min="13598" max="13598" width="15.5703125" style="3" bestFit="1" customWidth="1"/>
    <col min="13599" max="13600" width="9.140625" style="3"/>
    <col min="13601" max="13601" width="11.5703125" style="3" bestFit="1" customWidth="1"/>
    <col min="13602" max="13824" width="9.140625" style="3"/>
    <col min="13825" max="13825" width="3.7109375" style="3" customWidth="1"/>
    <col min="13826" max="13826" width="5.5703125" style="3" customWidth="1"/>
    <col min="13827" max="13827" width="9.85546875" style="3" customWidth="1"/>
    <col min="13828" max="13828" width="33" style="3" customWidth="1"/>
    <col min="13829" max="13829" width="8" style="3" bestFit="1" customWidth="1"/>
    <col min="13830" max="13830" width="4.140625" style="3" customWidth="1"/>
    <col min="13831" max="13831" width="5.42578125" style="3" bestFit="1" customWidth="1"/>
    <col min="13832" max="13832" width="3.7109375" style="3" customWidth="1"/>
    <col min="13833" max="13833" width="6.85546875" style="3" bestFit="1" customWidth="1"/>
    <col min="13834" max="13834" width="9.140625" style="3"/>
    <col min="13835" max="13836" width="2" style="3" customWidth="1"/>
    <col min="13837" max="13837" width="8.140625" style="3" customWidth="1"/>
    <col min="13838" max="13839" width="2" style="3" customWidth="1"/>
    <col min="13840" max="13840" width="2.85546875" style="3" customWidth="1"/>
    <col min="13841" max="13841" width="1.28515625" style="3" customWidth="1"/>
    <col min="13842" max="13842" width="11.7109375" style="3" customWidth="1"/>
    <col min="13843" max="13843" width="4.42578125" style="3" customWidth="1"/>
    <col min="13844" max="13844" width="8" style="3" customWidth="1"/>
    <col min="13845" max="13845" width="4.85546875" style="3" customWidth="1"/>
    <col min="13846" max="13846" width="0" style="3" hidden="1" customWidth="1"/>
    <col min="13847" max="13847" width="15.85546875" style="3" bestFit="1" customWidth="1"/>
    <col min="13848" max="13848" width="9.140625" style="3"/>
    <col min="13849" max="13849" width="15.42578125" style="3" bestFit="1" customWidth="1"/>
    <col min="13850" max="13850" width="19.7109375" style="3" bestFit="1" customWidth="1"/>
    <col min="13851" max="13851" width="16.5703125" style="3" bestFit="1" customWidth="1"/>
    <col min="13852" max="13852" width="13.42578125" style="3" bestFit="1" customWidth="1"/>
    <col min="13853" max="13853" width="16.28515625" style="3" bestFit="1" customWidth="1"/>
    <col min="13854" max="13854" width="15.5703125" style="3" bestFit="1" customWidth="1"/>
    <col min="13855" max="13856" width="9.140625" style="3"/>
    <col min="13857" max="13857" width="11.5703125" style="3" bestFit="1" customWidth="1"/>
    <col min="13858" max="14080" width="9.140625" style="3"/>
    <col min="14081" max="14081" width="3.7109375" style="3" customWidth="1"/>
    <col min="14082" max="14082" width="5.5703125" style="3" customWidth="1"/>
    <col min="14083" max="14083" width="9.85546875" style="3" customWidth="1"/>
    <col min="14084" max="14084" width="33" style="3" customWidth="1"/>
    <col min="14085" max="14085" width="8" style="3" bestFit="1" customWidth="1"/>
    <col min="14086" max="14086" width="4.140625" style="3" customWidth="1"/>
    <col min="14087" max="14087" width="5.42578125" style="3" bestFit="1" customWidth="1"/>
    <col min="14088" max="14088" width="3.7109375" style="3" customWidth="1"/>
    <col min="14089" max="14089" width="6.85546875" style="3" bestFit="1" customWidth="1"/>
    <col min="14090" max="14090" width="9.140625" style="3"/>
    <col min="14091" max="14092" width="2" style="3" customWidth="1"/>
    <col min="14093" max="14093" width="8.140625" style="3" customWidth="1"/>
    <col min="14094" max="14095" width="2" style="3" customWidth="1"/>
    <col min="14096" max="14096" width="2.85546875" style="3" customWidth="1"/>
    <col min="14097" max="14097" width="1.28515625" style="3" customWidth="1"/>
    <col min="14098" max="14098" width="11.7109375" style="3" customWidth="1"/>
    <col min="14099" max="14099" width="4.42578125" style="3" customWidth="1"/>
    <col min="14100" max="14100" width="8" style="3" customWidth="1"/>
    <col min="14101" max="14101" width="4.85546875" style="3" customWidth="1"/>
    <col min="14102" max="14102" width="0" style="3" hidden="1" customWidth="1"/>
    <col min="14103" max="14103" width="15.85546875" style="3" bestFit="1" customWidth="1"/>
    <col min="14104" max="14104" width="9.140625" style="3"/>
    <col min="14105" max="14105" width="15.42578125" style="3" bestFit="1" customWidth="1"/>
    <col min="14106" max="14106" width="19.7109375" style="3" bestFit="1" customWidth="1"/>
    <col min="14107" max="14107" width="16.5703125" style="3" bestFit="1" customWidth="1"/>
    <col min="14108" max="14108" width="13.42578125" style="3" bestFit="1" customWidth="1"/>
    <col min="14109" max="14109" width="16.28515625" style="3" bestFit="1" customWidth="1"/>
    <col min="14110" max="14110" width="15.5703125" style="3" bestFit="1" customWidth="1"/>
    <col min="14111" max="14112" width="9.140625" style="3"/>
    <col min="14113" max="14113" width="11.5703125" style="3" bestFit="1" customWidth="1"/>
    <col min="14114" max="14336" width="9.140625" style="3"/>
    <col min="14337" max="14337" width="3.7109375" style="3" customWidth="1"/>
    <col min="14338" max="14338" width="5.5703125" style="3" customWidth="1"/>
    <col min="14339" max="14339" width="9.85546875" style="3" customWidth="1"/>
    <col min="14340" max="14340" width="33" style="3" customWidth="1"/>
    <col min="14341" max="14341" width="8" style="3" bestFit="1" customWidth="1"/>
    <col min="14342" max="14342" width="4.140625" style="3" customWidth="1"/>
    <col min="14343" max="14343" width="5.42578125" style="3" bestFit="1" customWidth="1"/>
    <col min="14344" max="14344" width="3.7109375" style="3" customWidth="1"/>
    <col min="14345" max="14345" width="6.85546875" style="3" bestFit="1" customWidth="1"/>
    <col min="14346" max="14346" width="9.140625" style="3"/>
    <col min="14347" max="14348" width="2" style="3" customWidth="1"/>
    <col min="14349" max="14349" width="8.140625" style="3" customWidth="1"/>
    <col min="14350" max="14351" width="2" style="3" customWidth="1"/>
    <col min="14352" max="14352" width="2.85546875" style="3" customWidth="1"/>
    <col min="14353" max="14353" width="1.28515625" style="3" customWidth="1"/>
    <col min="14354" max="14354" width="11.7109375" style="3" customWidth="1"/>
    <col min="14355" max="14355" width="4.42578125" style="3" customWidth="1"/>
    <col min="14356" max="14356" width="8" style="3" customWidth="1"/>
    <col min="14357" max="14357" width="4.85546875" style="3" customWidth="1"/>
    <col min="14358" max="14358" width="0" style="3" hidden="1" customWidth="1"/>
    <col min="14359" max="14359" width="15.85546875" style="3" bestFit="1" customWidth="1"/>
    <col min="14360" max="14360" width="9.140625" style="3"/>
    <col min="14361" max="14361" width="15.42578125" style="3" bestFit="1" customWidth="1"/>
    <col min="14362" max="14362" width="19.7109375" style="3" bestFit="1" customWidth="1"/>
    <col min="14363" max="14363" width="16.5703125" style="3" bestFit="1" customWidth="1"/>
    <col min="14364" max="14364" width="13.42578125" style="3" bestFit="1" customWidth="1"/>
    <col min="14365" max="14365" width="16.28515625" style="3" bestFit="1" customWidth="1"/>
    <col min="14366" max="14366" width="15.5703125" style="3" bestFit="1" customWidth="1"/>
    <col min="14367" max="14368" width="9.140625" style="3"/>
    <col min="14369" max="14369" width="11.5703125" style="3" bestFit="1" customWidth="1"/>
    <col min="14370" max="14592" width="9.140625" style="3"/>
    <col min="14593" max="14593" width="3.7109375" style="3" customWidth="1"/>
    <col min="14594" max="14594" width="5.5703125" style="3" customWidth="1"/>
    <col min="14595" max="14595" width="9.85546875" style="3" customWidth="1"/>
    <col min="14596" max="14596" width="33" style="3" customWidth="1"/>
    <col min="14597" max="14597" width="8" style="3" bestFit="1" customWidth="1"/>
    <col min="14598" max="14598" width="4.140625" style="3" customWidth="1"/>
    <col min="14599" max="14599" width="5.42578125" style="3" bestFit="1" customWidth="1"/>
    <col min="14600" max="14600" width="3.7109375" style="3" customWidth="1"/>
    <col min="14601" max="14601" width="6.85546875" style="3" bestFit="1" customWidth="1"/>
    <col min="14602" max="14602" width="9.140625" style="3"/>
    <col min="14603" max="14604" width="2" style="3" customWidth="1"/>
    <col min="14605" max="14605" width="8.140625" style="3" customWidth="1"/>
    <col min="14606" max="14607" width="2" style="3" customWidth="1"/>
    <col min="14608" max="14608" width="2.85546875" style="3" customWidth="1"/>
    <col min="14609" max="14609" width="1.28515625" style="3" customWidth="1"/>
    <col min="14610" max="14610" width="11.7109375" style="3" customWidth="1"/>
    <col min="14611" max="14611" width="4.42578125" style="3" customWidth="1"/>
    <col min="14612" max="14612" width="8" style="3" customWidth="1"/>
    <col min="14613" max="14613" width="4.85546875" style="3" customWidth="1"/>
    <col min="14614" max="14614" width="0" style="3" hidden="1" customWidth="1"/>
    <col min="14615" max="14615" width="15.85546875" style="3" bestFit="1" customWidth="1"/>
    <col min="14616" max="14616" width="9.140625" style="3"/>
    <col min="14617" max="14617" width="15.42578125" style="3" bestFit="1" customWidth="1"/>
    <col min="14618" max="14618" width="19.7109375" style="3" bestFit="1" customWidth="1"/>
    <col min="14619" max="14619" width="16.5703125" style="3" bestFit="1" customWidth="1"/>
    <col min="14620" max="14620" width="13.42578125" style="3" bestFit="1" customWidth="1"/>
    <col min="14621" max="14621" width="16.28515625" style="3" bestFit="1" customWidth="1"/>
    <col min="14622" max="14622" width="15.5703125" style="3" bestFit="1" customWidth="1"/>
    <col min="14623" max="14624" width="9.140625" style="3"/>
    <col min="14625" max="14625" width="11.5703125" style="3" bestFit="1" customWidth="1"/>
    <col min="14626" max="14848" width="9.140625" style="3"/>
    <col min="14849" max="14849" width="3.7109375" style="3" customWidth="1"/>
    <col min="14850" max="14850" width="5.5703125" style="3" customWidth="1"/>
    <col min="14851" max="14851" width="9.85546875" style="3" customWidth="1"/>
    <col min="14852" max="14852" width="33" style="3" customWidth="1"/>
    <col min="14853" max="14853" width="8" style="3" bestFit="1" customWidth="1"/>
    <col min="14854" max="14854" width="4.140625" style="3" customWidth="1"/>
    <col min="14855" max="14855" width="5.42578125" style="3" bestFit="1" customWidth="1"/>
    <col min="14856" max="14856" width="3.7109375" style="3" customWidth="1"/>
    <col min="14857" max="14857" width="6.85546875" style="3" bestFit="1" customWidth="1"/>
    <col min="14858" max="14858" width="9.140625" style="3"/>
    <col min="14859" max="14860" width="2" style="3" customWidth="1"/>
    <col min="14861" max="14861" width="8.140625" style="3" customWidth="1"/>
    <col min="14862" max="14863" width="2" style="3" customWidth="1"/>
    <col min="14864" max="14864" width="2.85546875" style="3" customWidth="1"/>
    <col min="14865" max="14865" width="1.28515625" style="3" customWidth="1"/>
    <col min="14866" max="14866" width="11.7109375" style="3" customWidth="1"/>
    <col min="14867" max="14867" width="4.42578125" style="3" customWidth="1"/>
    <col min="14868" max="14868" width="8" style="3" customWidth="1"/>
    <col min="14869" max="14869" width="4.85546875" style="3" customWidth="1"/>
    <col min="14870" max="14870" width="0" style="3" hidden="1" customWidth="1"/>
    <col min="14871" max="14871" width="15.85546875" style="3" bestFit="1" customWidth="1"/>
    <col min="14872" max="14872" width="9.140625" style="3"/>
    <col min="14873" max="14873" width="15.42578125" style="3" bestFit="1" customWidth="1"/>
    <col min="14874" max="14874" width="19.7109375" style="3" bestFit="1" customWidth="1"/>
    <col min="14875" max="14875" width="16.5703125" style="3" bestFit="1" customWidth="1"/>
    <col min="14876" max="14876" width="13.42578125" style="3" bestFit="1" customWidth="1"/>
    <col min="14877" max="14877" width="16.28515625" style="3" bestFit="1" customWidth="1"/>
    <col min="14878" max="14878" width="15.5703125" style="3" bestFit="1" customWidth="1"/>
    <col min="14879" max="14880" width="9.140625" style="3"/>
    <col min="14881" max="14881" width="11.5703125" style="3" bestFit="1" customWidth="1"/>
    <col min="14882" max="15104" width="9.140625" style="3"/>
    <col min="15105" max="15105" width="3.7109375" style="3" customWidth="1"/>
    <col min="15106" max="15106" width="5.5703125" style="3" customWidth="1"/>
    <col min="15107" max="15107" width="9.85546875" style="3" customWidth="1"/>
    <col min="15108" max="15108" width="33" style="3" customWidth="1"/>
    <col min="15109" max="15109" width="8" style="3" bestFit="1" customWidth="1"/>
    <col min="15110" max="15110" width="4.140625" style="3" customWidth="1"/>
    <col min="15111" max="15111" width="5.42578125" style="3" bestFit="1" customWidth="1"/>
    <col min="15112" max="15112" width="3.7109375" style="3" customWidth="1"/>
    <col min="15113" max="15113" width="6.85546875" style="3" bestFit="1" customWidth="1"/>
    <col min="15114" max="15114" width="9.140625" style="3"/>
    <col min="15115" max="15116" width="2" style="3" customWidth="1"/>
    <col min="15117" max="15117" width="8.140625" style="3" customWidth="1"/>
    <col min="15118" max="15119" width="2" style="3" customWidth="1"/>
    <col min="15120" max="15120" width="2.85546875" style="3" customWidth="1"/>
    <col min="15121" max="15121" width="1.28515625" style="3" customWidth="1"/>
    <col min="15122" max="15122" width="11.7109375" style="3" customWidth="1"/>
    <col min="15123" max="15123" width="4.42578125" style="3" customWidth="1"/>
    <col min="15124" max="15124" width="8" style="3" customWidth="1"/>
    <col min="15125" max="15125" width="4.85546875" style="3" customWidth="1"/>
    <col min="15126" max="15126" width="0" style="3" hidden="1" customWidth="1"/>
    <col min="15127" max="15127" width="15.85546875" style="3" bestFit="1" customWidth="1"/>
    <col min="15128" max="15128" width="9.140625" style="3"/>
    <col min="15129" max="15129" width="15.42578125" style="3" bestFit="1" customWidth="1"/>
    <col min="15130" max="15130" width="19.7109375" style="3" bestFit="1" customWidth="1"/>
    <col min="15131" max="15131" width="16.5703125" style="3" bestFit="1" customWidth="1"/>
    <col min="15132" max="15132" width="13.42578125" style="3" bestFit="1" customWidth="1"/>
    <col min="15133" max="15133" width="16.28515625" style="3" bestFit="1" customWidth="1"/>
    <col min="15134" max="15134" width="15.5703125" style="3" bestFit="1" customWidth="1"/>
    <col min="15135" max="15136" width="9.140625" style="3"/>
    <col min="15137" max="15137" width="11.5703125" style="3" bestFit="1" customWidth="1"/>
    <col min="15138" max="15360" width="9.140625" style="3"/>
    <col min="15361" max="15361" width="3.7109375" style="3" customWidth="1"/>
    <col min="15362" max="15362" width="5.5703125" style="3" customWidth="1"/>
    <col min="15363" max="15363" width="9.85546875" style="3" customWidth="1"/>
    <col min="15364" max="15364" width="33" style="3" customWidth="1"/>
    <col min="15365" max="15365" width="8" style="3" bestFit="1" customWidth="1"/>
    <col min="15366" max="15366" width="4.140625" style="3" customWidth="1"/>
    <col min="15367" max="15367" width="5.42578125" style="3" bestFit="1" customWidth="1"/>
    <col min="15368" max="15368" width="3.7109375" style="3" customWidth="1"/>
    <col min="15369" max="15369" width="6.85546875" style="3" bestFit="1" customWidth="1"/>
    <col min="15370" max="15370" width="9.140625" style="3"/>
    <col min="15371" max="15372" width="2" style="3" customWidth="1"/>
    <col min="15373" max="15373" width="8.140625" style="3" customWidth="1"/>
    <col min="15374" max="15375" width="2" style="3" customWidth="1"/>
    <col min="15376" max="15376" width="2.85546875" style="3" customWidth="1"/>
    <col min="15377" max="15377" width="1.28515625" style="3" customWidth="1"/>
    <col min="15378" max="15378" width="11.7109375" style="3" customWidth="1"/>
    <col min="15379" max="15379" width="4.42578125" style="3" customWidth="1"/>
    <col min="15380" max="15380" width="8" style="3" customWidth="1"/>
    <col min="15381" max="15381" width="4.85546875" style="3" customWidth="1"/>
    <col min="15382" max="15382" width="0" style="3" hidden="1" customWidth="1"/>
    <col min="15383" max="15383" width="15.85546875" style="3" bestFit="1" customWidth="1"/>
    <col min="15384" max="15384" width="9.140625" style="3"/>
    <col min="15385" max="15385" width="15.42578125" style="3" bestFit="1" customWidth="1"/>
    <col min="15386" max="15386" width="19.7109375" style="3" bestFit="1" customWidth="1"/>
    <col min="15387" max="15387" width="16.5703125" style="3" bestFit="1" customWidth="1"/>
    <col min="15388" max="15388" width="13.42578125" style="3" bestFit="1" customWidth="1"/>
    <col min="15389" max="15389" width="16.28515625" style="3" bestFit="1" customWidth="1"/>
    <col min="15390" max="15390" width="15.5703125" style="3" bestFit="1" customWidth="1"/>
    <col min="15391" max="15392" width="9.140625" style="3"/>
    <col min="15393" max="15393" width="11.5703125" style="3" bestFit="1" customWidth="1"/>
    <col min="15394" max="15616" width="9.140625" style="3"/>
    <col min="15617" max="15617" width="3.7109375" style="3" customWidth="1"/>
    <col min="15618" max="15618" width="5.5703125" style="3" customWidth="1"/>
    <col min="15619" max="15619" width="9.85546875" style="3" customWidth="1"/>
    <col min="15620" max="15620" width="33" style="3" customWidth="1"/>
    <col min="15621" max="15621" width="8" style="3" bestFit="1" customWidth="1"/>
    <col min="15622" max="15622" width="4.140625" style="3" customWidth="1"/>
    <col min="15623" max="15623" width="5.42578125" style="3" bestFit="1" customWidth="1"/>
    <col min="15624" max="15624" width="3.7109375" style="3" customWidth="1"/>
    <col min="15625" max="15625" width="6.85546875" style="3" bestFit="1" customWidth="1"/>
    <col min="15626" max="15626" width="9.140625" style="3"/>
    <col min="15627" max="15628" width="2" style="3" customWidth="1"/>
    <col min="15629" max="15629" width="8.140625" style="3" customWidth="1"/>
    <col min="15630" max="15631" width="2" style="3" customWidth="1"/>
    <col min="15632" max="15632" width="2.85546875" style="3" customWidth="1"/>
    <col min="15633" max="15633" width="1.28515625" style="3" customWidth="1"/>
    <col min="15634" max="15634" width="11.7109375" style="3" customWidth="1"/>
    <col min="15635" max="15635" width="4.42578125" style="3" customWidth="1"/>
    <col min="15636" max="15636" width="8" style="3" customWidth="1"/>
    <col min="15637" max="15637" width="4.85546875" style="3" customWidth="1"/>
    <col min="15638" max="15638" width="0" style="3" hidden="1" customWidth="1"/>
    <col min="15639" max="15639" width="15.85546875" style="3" bestFit="1" customWidth="1"/>
    <col min="15640" max="15640" width="9.140625" style="3"/>
    <col min="15641" max="15641" width="15.42578125" style="3" bestFit="1" customWidth="1"/>
    <col min="15642" max="15642" width="19.7109375" style="3" bestFit="1" customWidth="1"/>
    <col min="15643" max="15643" width="16.5703125" style="3" bestFit="1" customWidth="1"/>
    <col min="15644" max="15644" width="13.42578125" style="3" bestFit="1" customWidth="1"/>
    <col min="15645" max="15645" width="16.28515625" style="3" bestFit="1" customWidth="1"/>
    <col min="15646" max="15646" width="15.5703125" style="3" bestFit="1" customWidth="1"/>
    <col min="15647" max="15648" width="9.140625" style="3"/>
    <col min="15649" max="15649" width="11.5703125" style="3" bestFit="1" customWidth="1"/>
    <col min="15650" max="15872" width="9.140625" style="3"/>
    <col min="15873" max="15873" width="3.7109375" style="3" customWidth="1"/>
    <col min="15874" max="15874" width="5.5703125" style="3" customWidth="1"/>
    <col min="15875" max="15875" width="9.85546875" style="3" customWidth="1"/>
    <col min="15876" max="15876" width="33" style="3" customWidth="1"/>
    <col min="15877" max="15877" width="8" style="3" bestFit="1" customWidth="1"/>
    <col min="15878" max="15878" width="4.140625" style="3" customWidth="1"/>
    <col min="15879" max="15879" width="5.42578125" style="3" bestFit="1" customWidth="1"/>
    <col min="15880" max="15880" width="3.7109375" style="3" customWidth="1"/>
    <col min="15881" max="15881" width="6.85546875" style="3" bestFit="1" customWidth="1"/>
    <col min="15882" max="15882" width="9.140625" style="3"/>
    <col min="15883" max="15884" width="2" style="3" customWidth="1"/>
    <col min="15885" max="15885" width="8.140625" style="3" customWidth="1"/>
    <col min="15886" max="15887" width="2" style="3" customWidth="1"/>
    <col min="15888" max="15888" width="2.85546875" style="3" customWidth="1"/>
    <col min="15889" max="15889" width="1.28515625" style="3" customWidth="1"/>
    <col min="15890" max="15890" width="11.7109375" style="3" customWidth="1"/>
    <col min="15891" max="15891" width="4.42578125" style="3" customWidth="1"/>
    <col min="15892" max="15892" width="8" style="3" customWidth="1"/>
    <col min="15893" max="15893" width="4.85546875" style="3" customWidth="1"/>
    <col min="15894" max="15894" width="0" style="3" hidden="1" customWidth="1"/>
    <col min="15895" max="15895" width="15.85546875" style="3" bestFit="1" customWidth="1"/>
    <col min="15896" max="15896" width="9.140625" style="3"/>
    <col min="15897" max="15897" width="15.42578125" style="3" bestFit="1" customWidth="1"/>
    <col min="15898" max="15898" width="19.7109375" style="3" bestFit="1" customWidth="1"/>
    <col min="15899" max="15899" width="16.5703125" style="3" bestFit="1" customWidth="1"/>
    <col min="15900" max="15900" width="13.42578125" style="3" bestFit="1" customWidth="1"/>
    <col min="15901" max="15901" width="16.28515625" style="3" bestFit="1" customWidth="1"/>
    <col min="15902" max="15902" width="15.5703125" style="3" bestFit="1" customWidth="1"/>
    <col min="15903" max="15904" width="9.140625" style="3"/>
    <col min="15905" max="15905" width="11.5703125" style="3" bestFit="1" customWidth="1"/>
    <col min="15906" max="16128" width="9.140625" style="3"/>
    <col min="16129" max="16129" width="3.7109375" style="3" customWidth="1"/>
    <col min="16130" max="16130" width="5.5703125" style="3" customWidth="1"/>
    <col min="16131" max="16131" width="9.85546875" style="3" customWidth="1"/>
    <col min="16132" max="16132" width="33" style="3" customWidth="1"/>
    <col min="16133" max="16133" width="8" style="3" bestFit="1" customWidth="1"/>
    <col min="16134" max="16134" width="4.140625" style="3" customWidth="1"/>
    <col min="16135" max="16135" width="5.42578125" style="3" bestFit="1" customWidth="1"/>
    <col min="16136" max="16136" width="3.7109375" style="3" customWidth="1"/>
    <col min="16137" max="16137" width="6.85546875" style="3" bestFit="1" customWidth="1"/>
    <col min="16138" max="16138" width="9.140625" style="3"/>
    <col min="16139" max="16140" width="2" style="3" customWidth="1"/>
    <col min="16141" max="16141" width="8.140625" style="3" customWidth="1"/>
    <col min="16142" max="16143" width="2" style="3" customWidth="1"/>
    <col min="16144" max="16144" width="2.85546875" style="3" customWidth="1"/>
    <col min="16145" max="16145" width="1.28515625" style="3" customWidth="1"/>
    <col min="16146" max="16146" width="11.7109375" style="3" customWidth="1"/>
    <col min="16147" max="16147" width="4.42578125" style="3" customWidth="1"/>
    <col min="16148" max="16148" width="8" style="3" customWidth="1"/>
    <col min="16149" max="16149" width="4.85546875" style="3" customWidth="1"/>
    <col min="16150" max="16150" width="0" style="3" hidden="1" customWidth="1"/>
    <col min="16151" max="16151" width="15.85546875" style="3" bestFit="1" customWidth="1"/>
    <col min="16152" max="16152" width="9.140625" style="3"/>
    <col min="16153" max="16153" width="15.42578125" style="3" bestFit="1" customWidth="1"/>
    <col min="16154" max="16154" width="19.7109375" style="3" bestFit="1" customWidth="1"/>
    <col min="16155" max="16155" width="16.5703125" style="3" bestFit="1" customWidth="1"/>
    <col min="16156" max="16156" width="13.42578125" style="3" bestFit="1" customWidth="1"/>
    <col min="16157" max="16157" width="16.28515625" style="3" bestFit="1" customWidth="1"/>
    <col min="16158" max="16158" width="15.5703125" style="3" bestFit="1" customWidth="1"/>
    <col min="16159" max="16160" width="9.140625" style="3"/>
    <col min="16161" max="16161" width="11.5703125" style="3" bestFit="1" customWidth="1"/>
    <col min="16162" max="16384" width="9.140625" style="3"/>
  </cols>
  <sheetData>
    <row r="1" spans="1:23" ht="0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 spans="1:23" ht="14.25" customHeight="1" x14ac:dyDescent="0.2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2"/>
    </row>
    <row r="3" spans="1:23" ht="0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</row>
    <row r="4" spans="1:23" ht="0.95" customHeight="1" x14ac:dyDescent="0.25">
      <c r="A4" s="12"/>
      <c r="B4" s="12"/>
      <c r="C4" s="13"/>
      <c r="D4" s="14"/>
      <c r="E4" s="14"/>
      <c r="F4" s="12"/>
      <c r="G4" s="12"/>
      <c r="H4" s="14"/>
      <c r="I4" s="14"/>
      <c r="J4" s="15"/>
      <c r="K4" s="14"/>
      <c r="L4" s="14"/>
      <c r="M4" s="16"/>
      <c r="N4" s="14"/>
      <c r="O4" s="14"/>
      <c r="P4" s="14"/>
      <c r="Q4" s="14"/>
      <c r="R4" s="13"/>
      <c r="S4" s="13"/>
      <c r="T4" s="14"/>
      <c r="U4" s="14"/>
      <c r="V4" s="2"/>
    </row>
    <row r="5" spans="1:23" ht="12.75" customHeight="1" x14ac:dyDescent="0.25">
      <c r="A5" s="17" t="s">
        <v>1</v>
      </c>
      <c r="B5" s="17"/>
      <c r="C5" s="17"/>
      <c r="D5" s="17"/>
      <c r="E5" s="17"/>
      <c r="F5" s="17"/>
      <c r="G5" s="17"/>
      <c r="H5" s="17"/>
      <c r="I5" s="18"/>
      <c r="J5" s="19" t="s">
        <v>2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8"/>
      <c r="V5" s="2"/>
    </row>
    <row r="6" spans="1:23" ht="0.9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20"/>
      <c r="K6" s="18"/>
      <c r="L6" s="18"/>
      <c r="M6" s="21"/>
      <c r="N6" s="18"/>
      <c r="O6" s="18"/>
      <c r="P6" s="18"/>
      <c r="Q6" s="18"/>
      <c r="R6" s="18"/>
      <c r="S6" s="18"/>
      <c r="T6" s="18"/>
      <c r="U6" s="18"/>
      <c r="V6" s="2"/>
    </row>
    <row r="7" spans="1:23" ht="12.75" customHeight="1" x14ac:dyDescent="0.25">
      <c r="A7" s="3" t="s">
        <v>3</v>
      </c>
      <c r="B7" s="3"/>
      <c r="C7" s="22" t="s">
        <v>4</v>
      </c>
      <c r="D7" s="23" t="s">
        <v>58</v>
      </c>
      <c r="E7" s="23"/>
      <c r="F7" s="23"/>
      <c r="G7" s="23"/>
      <c r="H7" s="22"/>
      <c r="J7" s="24" t="s">
        <v>3</v>
      </c>
      <c r="K7" s="25"/>
      <c r="L7" s="22" t="s">
        <v>4</v>
      </c>
      <c r="M7" s="26" t="s">
        <v>63</v>
      </c>
      <c r="N7" s="26"/>
      <c r="O7" s="26"/>
      <c r="P7" s="26"/>
      <c r="Q7" s="26"/>
      <c r="R7" s="26"/>
      <c r="S7" s="26"/>
      <c r="T7" s="26"/>
      <c r="V7" s="2"/>
    </row>
    <row r="8" spans="1:23" ht="12.75" customHeight="1" x14ac:dyDescent="0.25">
      <c r="A8" s="23" t="s">
        <v>5</v>
      </c>
      <c r="B8" s="23"/>
      <c r="C8" s="22" t="s">
        <v>4</v>
      </c>
      <c r="D8" s="23" t="s">
        <v>59</v>
      </c>
      <c r="E8" s="23"/>
      <c r="F8" s="23"/>
      <c r="G8" s="23"/>
      <c r="H8" s="27"/>
      <c r="I8" s="28"/>
      <c r="J8" s="24" t="s">
        <v>6</v>
      </c>
      <c r="K8" s="25"/>
      <c r="L8" s="22" t="s">
        <v>4</v>
      </c>
      <c r="M8" s="29">
        <v>1314023</v>
      </c>
      <c r="N8" s="29"/>
      <c r="O8" s="29"/>
      <c r="P8" s="29"/>
      <c r="Q8" s="29"/>
      <c r="R8" s="29"/>
      <c r="S8" s="29"/>
      <c r="T8" s="29"/>
      <c r="V8" s="2"/>
    </row>
    <row r="9" spans="1:23" ht="12.75" customHeight="1" x14ac:dyDescent="0.25">
      <c r="A9" s="23" t="s">
        <v>7</v>
      </c>
      <c r="B9" s="23"/>
      <c r="C9" s="22" t="s">
        <v>4</v>
      </c>
      <c r="D9" s="3" t="s">
        <v>60</v>
      </c>
      <c r="G9" s="3"/>
      <c r="J9" s="24" t="s">
        <v>7</v>
      </c>
      <c r="L9" s="22" t="s">
        <v>4</v>
      </c>
      <c r="M9" s="29" t="s">
        <v>64</v>
      </c>
      <c r="N9" s="29"/>
      <c r="O9" s="29"/>
      <c r="P9" s="29"/>
      <c r="Q9" s="29"/>
      <c r="R9" s="29"/>
      <c r="S9" s="29"/>
      <c r="T9" s="29"/>
      <c r="U9" s="29"/>
      <c r="V9" s="2"/>
    </row>
    <row r="10" spans="1:23" ht="0.95" customHeight="1" x14ac:dyDescent="0.25">
      <c r="A10" s="3"/>
      <c r="B10" s="3"/>
      <c r="G10" s="3"/>
      <c r="P10" s="32"/>
      <c r="Q10" s="32"/>
      <c r="R10" s="32"/>
      <c r="S10" s="32"/>
      <c r="T10" s="22"/>
      <c r="U10" s="33"/>
      <c r="V10" s="2"/>
    </row>
    <row r="11" spans="1:23" ht="12.75" customHeight="1" x14ac:dyDescent="0.25">
      <c r="A11" s="3"/>
      <c r="B11" s="3"/>
      <c r="C11" s="32"/>
      <c r="D11" s="23" t="s">
        <v>61</v>
      </c>
      <c r="E11" s="23"/>
      <c r="F11" s="23"/>
      <c r="G11" s="23"/>
      <c r="H11" s="25" t="s">
        <v>8</v>
      </c>
      <c r="K11" s="25"/>
      <c r="L11" s="25"/>
      <c r="M11" s="29" t="s">
        <v>9</v>
      </c>
      <c r="N11" s="29"/>
      <c r="O11" s="29"/>
      <c r="P11" s="29"/>
      <c r="Q11" s="29"/>
      <c r="R11" s="29"/>
      <c r="S11" s="29"/>
      <c r="T11" s="29"/>
      <c r="U11" s="22" t="s">
        <v>10</v>
      </c>
      <c r="V11" s="2"/>
    </row>
    <row r="12" spans="1:23" ht="12.75" customHeight="1" x14ac:dyDescent="0.25">
      <c r="A12" s="3"/>
      <c r="B12" s="3"/>
      <c r="C12" s="32"/>
      <c r="D12" s="3" t="s">
        <v>62</v>
      </c>
      <c r="G12" s="3"/>
      <c r="H12" s="25"/>
      <c r="K12" s="25"/>
      <c r="L12" s="25"/>
      <c r="U12" s="22"/>
      <c r="V12" s="2"/>
    </row>
    <row r="13" spans="1:23" ht="12.75" customHeight="1" thickBot="1" x14ac:dyDescent="0.3">
      <c r="A13" s="34"/>
      <c r="B13" s="34"/>
      <c r="C13" s="34"/>
      <c r="D13" s="34"/>
      <c r="E13" s="35" t="s">
        <v>11</v>
      </c>
      <c r="F13" s="35"/>
      <c r="G13" s="35"/>
      <c r="H13" s="35"/>
      <c r="I13" s="35"/>
      <c r="J13" s="35"/>
      <c r="K13" s="34"/>
      <c r="L13" s="34"/>
      <c r="M13" s="36"/>
      <c r="N13" s="34"/>
      <c r="O13" s="34"/>
      <c r="P13" s="34"/>
      <c r="Q13" s="34"/>
      <c r="R13" s="34"/>
      <c r="S13" s="34"/>
      <c r="T13" s="34"/>
      <c r="U13" s="34"/>
      <c r="V13" s="2"/>
    </row>
    <row r="14" spans="1:23" ht="18.75" customHeight="1" x14ac:dyDescent="0.25">
      <c r="A14" s="3"/>
      <c r="B14" s="3"/>
      <c r="C14" s="32"/>
      <c r="D14" s="37" t="s">
        <v>12</v>
      </c>
      <c r="E14" s="22" t="s">
        <v>4</v>
      </c>
      <c r="F14" s="38" t="s">
        <v>65</v>
      </c>
      <c r="G14" s="38"/>
      <c r="H14" s="38"/>
      <c r="K14" s="25"/>
      <c r="L14" s="25"/>
      <c r="M14" s="39" t="s">
        <v>67</v>
      </c>
      <c r="N14" s="40"/>
      <c r="O14" s="40"/>
      <c r="P14" s="40"/>
      <c r="Q14" s="40"/>
      <c r="R14" s="40"/>
      <c r="S14" s="41"/>
      <c r="T14" s="25"/>
      <c r="U14" s="22"/>
      <c r="V14" s="2"/>
      <c r="W14" s="42"/>
    </row>
    <row r="15" spans="1:23" ht="15.75" customHeight="1" thickBot="1" x14ac:dyDescent="0.3">
      <c r="A15" s="3"/>
      <c r="B15" s="3"/>
      <c r="C15" s="32"/>
      <c r="D15" s="37" t="s">
        <v>13</v>
      </c>
      <c r="E15" s="22" t="s">
        <v>4</v>
      </c>
      <c r="F15" s="43" t="s">
        <v>66</v>
      </c>
      <c r="G15" s="43"/>
      <c r="H15" s="43"/>
      <c r="K15" s="25"/>
      <c r="L15" s="25"/>
      <c r="M15" s="44"/>
      <c r="N15" s="45"/>
      <c r="O15" s="45"/>
      <c r="P15" s="45"/>
      <c r="Q15" s="45"/>
      <c r="R15" s="45"/>
      <c r="S15" s="46"/>
      <c r="T15" s="25"/>
      <c r="U15" s="22"/>
      <c r="V15" s="2"/>
      <c r="W15" s="47"/>
    </row>
    <row r="16" spans="1:23" ht="10.5" customHeight="1" thickBot="1" x14ac:dyDescent="0.3">
      <c r="A16" s="3"/>
      <c r="B16" s="3"/>
      <c r="C16" s="32"/>
      <c r="G16" s="3"/>
      <c r="H16" s="25"/>
      <c r="K16" s="25"/>
      <c r="L16" s="25"/>
      <c r="N16" s="25"/>
      <c r="O16" s="25"/>
      <c r="P16" s="25"/>
      <c r="Q16" s="25"/>
      <c r="R16" s="25"/>
      <c r="S16" s="25"/>
      <c r="T16" s="25"/>
      <c r="U16" s="22"/>
      <c r="V16" s="2"/>
    </row>
    <row r="17" spans="1:33" ht="1.5" hidden="1" customHeight="1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2"/>
    </row>
    <row r="18" spans="1:33" ht="17.25" customHeight="1" x14ac:dyDescent="0.25">
      <c r="A18" s="49" t="s">
        <v>14</v>
      </c>
      <c r="B18" s="50" t="s">
        <v>15</v>
      </c>
      <c r="C18" s="51"/>
      <c r="D18" s="52"/>
      <c r="E18" s="53" t="s">
        <v>16</v>
      </c>
      <c r="F18" s="54"/>
      <c r="G18" s="53" t="s">
        <v>17</v>
      </c>
      <c r="H18" s="54"/>
      <c r="I18" s="55" t="s">
        <v>18</v>
      </c>
      <c r="J18" s="53" t="s">
        <v>19</v>
      </c>
      <c r="K18" s="56"/>
      <c r="L18" s="54"/>
      <c r="M18" s="53" t="s">
        <v>19</v>
      </c>
      <c r="N18" s="56"/>
      <c r="O18" s="54"/>
      <c r="P18" s="53" t="s">
        <v>20</v>
      </c>
      <c r="Q18" s="53"/>
      <c r="R18" s="53"/>
      <c r="S18" s="53" t="s">
        <v>21</v>
      </c>
      <c r="T18" s="56"/>
      <c r="U18" s="54"/>
      <c r="V18" s="2"/>
    </row>
    <row r="19" spans="1:33" ht="17.25" customHeight="1" thickBot="1" x14ac:dyDescent="0.3">
      <c r="A19" s="57"/>
      <c r="B19" s="58"/>
      <c r="C19" s="59"/>
      <c r="D19" s="60"/>
      <c r="E19" s="61" t="s">
        <v>22</v>
      </c>
      <c r="F19" s="62"/>
      <c r="G19" s="61"/>
      <c r="H19" s="62"/>
      <c r="I19" s="63" t="s">
        <v>22</v>
      </c>
      <c r="J19" s="61" t="s">
        <v>23</v>
      </c>
      <c r="K19" s="64"/>
      <c r="L19" s="62"/>
      <c r="M19" s="61" t="s">
        <v>24</v>
      </c>
      <c r="N19" s="64"/>
      <c r="O19" s="62"/>
      <c r="P19" s="61" t="s">
        <v>25</v>
      </c>
      <c r="Q19" s="64"/>
      <c r="R19" s="62"/>
      <c r="S19" s="61" t="s">
        <v>26</v>
      </c>
      <c r="T19" s="64"/>
      <c r="U19" s="62"/>
      <c r="V19" s="2"/>
      <c r="W19" s="65"/>
      <c r="Y19" s="5" t="s">
        <v>27</v>
      </c>
      <c r="Z19" s="6" t="s">
        <v>68</v>
      </c>
      <c r="AC19" s="66"/>
      <c r="AF19" s="67"/>
    </row>
    <row r="20" spans="1:33" ht="1.5" hidden="1" customHeight="1" x14ac:dyDescent="0.25">
      <c r="A20" s="68"/>
      <c r="B20" s="69"/>
      <c r="C20" s="13"/>
      <c r="D20" s="70"/>
      <c r="E20" s="69"/>
      <c r="F20" s="71"/>
      <c r="G20" s="13"/>
      <c r="H20" s="70"/>
      <c r="I20" s="14"/>
      <c r="J20" s="72"/>
      <c r="K20" s="13"/>
      <c r="L20" s="13"/>
      <c r="M20" s="73"/>
      <c r="N20" s="13"/>
      <c r="O20" s="13"/>
      <c r="P20" s="69"/>
      <c r="Q20" s="13"/>
      <c r="R20" s="70"/>
      <c r="S20" s="13"/>
      <c r="T20" s="70"/>
      <c r="U20" s="68"/>
      <c r="V20" s="2"/>
      <c r="AC20" s="74"/>
      <c r="AF20" s="75"/>
    </row>
    <row r="21" spans="1:33" s="93" customFormat="1" ht="36" customHeight="1" x14ac:dyDescent="0.25">
      <c r="A21" s="76">
        <v>1</v>
      </c>
      <c r="B21" s="77" t="s">
        <v>28</v>
      </c>
      <c r="C21" s="78"/>
      <c r="D21" s="78"/>
      <c r="E21" s="79">
        <v>9000</v>
      </c>
      <c r="F21" s="80" t="s">
        <v>29</v>
      </c>
      <c r="G21" s="79">
        <v>21</v>
      </c>
      <c r="H21" s="80" t="s">
        <v>30</v>
      </c>
      <c r="I21" s="81">
        <v>0.11</v>
      </c>
      <c r="J21" s="82">
        <f>860+43</f>
        <v>903</v>
      </c>
      <c r="K21" s="83" t="s">
        <v>31</v>
      </c>
      <c r="L21" s="84"/>
      <c r="M21" s="85">
        <f t="shared" ref="M21:M27" si="0">J21-G21</f>
        <v>882</v>
      </c>
      <c r="N21" s="86" t="s">
        <v>31</v>
      </c>
      <c r="O21" s="87"/>
      <c r="P21" s="88">
        <f t="shared" ref="P21:P44" si="1">S21/E21</f>
        <v>0.15174866627148784</v>
      </c>
      <c r="Q21" s="89"/>
      <c r="R21" s="89"/>
      <c r="S21" s="90">
        <f>Y21/Z21</f>
        <v>1365.7379964433906</v>
      </c>
      <c r="T21" s="91"/>
      <c r="U21" s="92"/>
      <c r="W21" s="94"/>
      <c r="X21" s="4"/>
      <c r="Y21" s="95">
        <v>23040000</v>
      </c>
      <c r="Z21" s="96">
        <v>16870</v>
      </c>
      <c r="AA21" s="97"/>
      <c r="AB21" s="98"/>
      <c r="AC21" s="99"/>
      <c r="AD21" s="100"/>
      <c r="AE21" s="101"/>
      <c r="AF21" s="67"/>
      <c r="AG21" s="67"/>
    </row>
    <row r="22" spans="1:33" ht="36" customHeight="1" x14ac:dyDescent="0.25">
      <c r="A22" s="76">
        <v>2</v>
      </c>
      <c r="B22" s="77" t="s">
        <v>32</v>
      </c>
      <c r="C22" s="78"/>
      <c r="D22" s="78"/>
      <c r="E22" s="79">
        <v>480</v>
      </c>
      <c r="F22" s="80" t="s">
        <v>29</v>
      </c>
      <c r="G22" s="79">
        <v>20</v>
      </c>
      <c r="H22" s="80" t="s">
        <v>30</v>
      </c>
      <c r="I22" s="102">
        <v>1.0920000000000001</v>
      </c>
      <c r="J22" s="82">
        <v>524</v>
      </c>
      <c r="K22" s="83" t="s">
        <v>31</v>
      </c>
      <c r="L22" s="84"/>
      <c r="M22" s="85">
        <f t="shared" si="0"/>
        <v>504</v>
      </c>
      <c r="N22" s="86" t="s">
        <v>31</v>
      </c>
      <c r="O22" s="86"/>
      <c r="P22" s="88">
        <f t="shared" si="1"/>
        <v>2.5439834024896268</v>
      </c>
      <c r="Q22" s="89"/>
      <c r="R22" s="89"/>
      <c r="S22" s="90">
        <f t="shared" ref="S22:S28" si="2">Y22/Z22</f>
        <v>1221.1120331950208</v>
      </c>
      <c r="T22" s="91"/>
      <c r="U22" s="92"/>
      <c r="W22" s="94"/>
      <c r="X22" s="103"/>
      <c r="Y22" s="95">
        <v>20600160</v>
      </c>
      <c r="Z22" s="96">
        <v>16870</v>
      </c>
      <c r="AA22" s="97"/>
      <c r="AB22" s="98"/>
      <c r="AC22" s="99"/>
      <c r="AD22" s="100"/>
      <c r="AE22" s="101"/>
      <c r="AF22" s="67"/>
      <c r="AG22" s="67"/>
    </row>
    <row r="23" spans="1:33" ht="36" customHeight="1" x14ac:dyDescent="0.25">
      <c r="A23" s="76">
        <v>3</v>
      </c>
      <c r="B23" s="77" t="s">
        <v>33</v>
      </c>
      <c r="C23" s="78"/>
      <c r="D23" s="78"/>
      <c r="E23" s="79">
        <v>40000</v>
      </c>
      <c r="F23" s="80" t="s">
        <v>29</v>
      </c>
      <c r="G23" s="79">
        <v>20</v>
      </c>
      <c r="H23" s="80" t="s">
        <v>30</v>
      </c>
      <c r="I23" s="104">
        <v>2E-3</v>
      </c>
      <c r="J23" s="85">
        <v>86</v>
      </c>
      <c r="K23" s="83" t="s">
        <v>31</v>
      </c>
      <c r="L23" s="84"/>
      <c r="M23" s="85">
        <f t="shared" si="0"/>
        <v>66</v>
      </c>
      <c r="N23" s="86" t="s">
        <v>31</v>
      </c>
      <c r="O23" s="86"/>
      <c r="P23" s="88">
        <f t="shared" si="1"/>
        <v>3.9119739181979847E-3</v>
      </c>
      <c r="Q23" s="89"/>
      <c r="R23" s="89"/>
      <c r="S23" s="90">
        <f t="shared" si="2"/>
        <v>156.47895672791938</v>
      </c>
      <c r="T23" s="91"/>
      <c r="U23" s="92"/>
      <c r="W23" s="94"/>
      <c r="X23" s="103"/>
      <c r="Y23" s="95">
        <v>2639800</v>
      </c>
      <c r="Z23" s="96">
        <v>16870</v>
      </c>
      <c r="AA23" s="97"/>
      <c r="AB23" s="98"/>
      <c r="AC23" s="99"/>
      <c r="AD23" s="100"/>
      <c r="AE23" s="101"/>
      <c r="AF23" s="67"/>
      <c r="AG23" s="67"/>
    </row>
    <row r="24" spans="1:33" s="120" customFormat="1" ht="36" customHeight="1" x14ac:dyDescent="0.25">
      <c r="A24" s="105">
        <v>4</v>
      </c>
      <c r="B24" s="106" t="s">
        <v>34</v>
      </c>
      <c r="C24" s="107"/>
      <c r="D24" s="107"/>
      <c r="E24" s="108">
        <v>90</v>
      </c>
      <c r="F24" s="109" t="s">
        <v>29</v>
      </c>
      <c r="G24" s="108">
        <v>15</v>
      </c>
      <c r="H24" s="109" t="s">
        <v>30</v>
      </c>
      <c r="I24" s="110">
        <v>1.7</v>
      </c>
      <c r="J24" s="85">
        <f>E24*I24</f>
        <v>153</v>
      </c>
      <c r="K24" s="111" t="s">
        <v>31</v>
      </c>
      <c r="L24" s="112"/>
      <c r="M24" s="85">
        <f t="shared" si="0"/>
        <v>138</v>
      </c>
      <c r="N24" s="113" t="s">
        <v>31</v>
      </c>
      <c r="O24" s="114"/>
      <c r="P24" s="115">
        <f t="shared" si="1"/>
        <v>8.8431535269709549</v>
      </c>
      <c r="Q24" s="116"/>
      <c r="R24" s="116"/>
      <c r="S24" s="117">
        <f t="shared" si="2"/>
        <v>795.88381742738591</v>
      </c>
      <c r="T24" s="118"/>
      <c r="U24" s="119"/>
      <c r="W24" s="94"/>
      <c r="X24" s="121"/>
      <c r="Y24" s="122">
        <v>13426560</v>
      </c>
      <c r="Z24" s="123">
        <v>16870</v>
      </c>
      <c r="AA24" s="124"/>
      <c r="AB24" s="125"/>
      <c r="AC24" s="126"/>
      <c r="AD24" s="127"/>
      <c r="AE24" s="128"/>
      <c r="AF24" s="129"/>
      <c r="AG24" s="129"/>
    </row>
    <row r="25" spans="1:33" s="93" customFormat="1" ht="36" customHeight="1" x14ac:dyDescent="0.25">
      <c r="A25" s="76">
        <v>5</v>
      </c>
      <c r="B25" s="130" t="s">
        <v>35</v>
      </c>
      <c r="C25" s="131"/>
      <c r="D25" s="132"/>
      <c r="E25" s="108">
        <v>230</v>
      </c>
      <c r="F25" s="109" t="s">
        <v>29</v>
      </c>
      <c r="G25" s="108">
        <v>30</v>
      </c>
      <c r="H25" s="109" t="s">
        <v>30</v>
      </c>
      <c r="I25" s="110">
        <v>2.48</v>
      </c>
      <c r="J25" s="85">
        <v>447</v>
      </c>
      <c r="K25" s="111" t="s">
        <v>31</v>
      </c>
      <c r="L25" s="112"/>
      <c r="M25" s="82">
        <f t="shared" si="0"/>
        <v>417</v>
      </c>
      <c r="N25" s="86" t="s">
        <v>31</v>
      </c>
      <c r="O25" s="87"/>
      <c r="P25" s="88">
        <f t="shared" si="1"/>
        <v>11.246184376691323</v>
      </c>
      <c r="Q25" s="89"/>
      <c r="R25" s="89"/>
      <c r="S25" s="90">
        <f t="shared" si="2"/>
        <v>2586.6224066390041</v>
      </c>
      <c r="T25" s="90"/>
      <c r="U25" s="133"/>
      <c r="W25" s="94"/>
      <c r="X25" s="103"/>
      <c r="Y25" s="95">
        <v>43636320</v>
      </c>
      <c r="Z25" s="96">
        <v>16870</v>
      </c>
      <c r="AA25" s="97"/>
      <c r="AB25" s="98"/>
      <c r="AC25" s="99"/>
      <c r="AD25" s="100"/>
      <c r="AE25" s="101"/>
      <c r="AF25" s="67"/>
      <c r="AG25" s="67"/>
    </row>
    <row r="26" spans="1:33" s="93" customFormat="1" ht="36" customHeight="1" x14ac:dyDescent="0.25">
      <c r="A26" s="76">
        <v>6</v>
      </c>
      <c r="B26" s="130" t="s">
        <v>36</v>
      </c>
      <c r="C26" s="131"/>
      <c r="D26" s="132"/>
      <c r="E26" s="108">
        <v>450</v>
      </c>
      <c r="F26" s="109" t="s">
        <v>29</v>
      </c>
      <c r="G26" s="108">
        <v>14</v>
      </c>
      <c r="H26" s="109" t="s">
        <v>30</v>
      </c>
      <c r="I26" s="110">
        <v>5.8</v>
      </c>
      <c r="J26" s="85">
        <f>E26*I26</f>
        <v>2610</v>
      </c>
      <c r="K26" s="111" t="s">
        <v>31</v>
      </c>
      <c r="L26" s="112"/>
      <c r="M26" s="82">
        <f t="shared" si="0"/>
        <v>2596</v>
      </c>
      <c r="N26" s="86" t="s">
        <v>31</v>
      </c>
      <c r="O26" s="87"/>
      <c r="P26" s="88">
        <f t="shared" si="1"/>
        <v>2.3950207468879667</v>
      </c>
      <c r="Q26" s="89"/>
      <c r="R26" s="89"/>
      <c r="S26" s="90">
        <f t="shared" si="2"/>
        <v>1077.759336099585</v>
      </c>
      <c r="T26" s="91"/>
      <c r="U26" s="92"/>
      <c r="W26" s="94"/>
      <c r="X26" s="134"/>
      <c r="Y26" s="95">
        <v>18181800</v>
      </c>
      <c r="Z26" s="96">
        <v>16870</v>
      </c>
      <c r="AA26" s="97"/>
      <c r="AB26" s="98"/>
      <c r="AC26" s="99"/>
      <c r="AD26" s="100"/>
      <c r="AE26" s="101"/>
      <c r="AF26" s="67"/>
      <c r="AG26" s="67"/>
    </row>
    <row r="27" spans="1:33" s="93" customFormat="1" ht="36" customHeight="1" x14ac:dyDescent="0.25">
      <c r="A27" s="76">
        <v>7</v>
      </c>
      <c r="B27" s="135" t="s">
        <v>37</v>
      </c>
      <c r="C27" s="107"/>
      <c r="D27" s="107"/>
      <c r="E27" s="108">
        <v>13608</v>
      </c>
      <c r="F27" s="109" t="s">
        <v>29</v>
      </c>
      <c r="G27" s="108">
        <v>21</v>
      </c>
      <c r="H27" s="109" t="s">
        <v>30</v>
      </c>
      <c r="I27" s="110">
        <v>0.02</v>
      </c>
      <c r="J27" s="85">
        <f>317.1</f>
        <v>317.10000000000002</v>
      </c>
      <c r="K27" s="111" t="s">
        <v>31</v>
      </c>
      <c r="L27" s="112"/>
      <c r="M27" s="82">
        <f t="shared" si="0"/>
        <v>296.10000000000002</v>
      </c>
      <c r="N27" s="86" t="s">
        <v>31</v>
      </c>
      <c r="O27" s="87"/>
      <c r="P27" s="88">
        <f t="shared" si="1"/>
        <v>7.1606401896858324E-2</v>
      </c>
      <c r="Q27" s="89"/>
      <c r="R27" s="89"/>
      <c r="S27" s="90">
        <f t="shared" si="2"/>
        <v>974.41991701244808</v>
      </c>
      <c r="T27" s="91"/>
      <c r="U27" s="92"/>
      <c r="W27" s="94"/>
      <c r="X27" s="103"/>
      <c r="Y27" s="95">
        <v>16438464</v>
      </c>
      <c r="Z27" s="96">
        <v>16870</v>
      </c>
      <c r="AA27" s="97"/>
      <c r="AB27" s="98"/>
      <c r="AC27" s="99"/>
      <c r="AD27" s="100"/>
      <c r="AE27" s="101"/>
      <c r="AF27" s="67"/>
      <c r="AG27" s="67"/>
    </row>
    <row r="28" spans="1:33" s="120" customFormat="1" ht="36" customHeight="1" x14ac:dyDescent="0.25">
      <c r="A28" s="105">
        <v>8</v>
      </c>
      <c r="B28" s="136" t="s">
        <v>38</v>
      </c>
      <c r="C28" s="137"/>
      <c r="D28" s="138"/>
      <c r="E28" s="108">
        <v>600</v>
      </c>
      <c r="F28" s="109" t="s">
        <v>29</v>
      </c>
      <c r="G28" s="108">
        <f>60+12</f>
        <v>72</v>
      </c>
      <c r="H28" s="109" t="s">
        <v>30</v>
      </c>
      <c r="I28" s="110">
        <f>1.47+0.45</f>
        <v>1.92</v>
      </c>
      <c r="J28" s="85">
        <f>882+272.4</f>
        <v>1154.4000000000001</v>
      </c>
      <c r="K28" s="111" t="s">
        <v>31</v>
      </c>
      <c r="L28" s="112"/>
      <c r="M28" s="85">
        <f t="shared" ref="M28:M38" si="3">J28</f>
        <v>1154.4000000000001</v>
      </c>
      <c r="N28" s="113" t="s">
        <v>31</v>
      </c>
      <c r="O28" s="114"/>
      <c r="P28" s="115">
        <f t="shared" si="1"/>
        <v>0.88915234143449917</v>
      </c>
      <c r="Q28" s="116"/>
      <c r="R28" s="116"/>
      <c r="S28" s="117">
        <f t="shared" si="2"/>
        <v>533.4914048606995</v>
      </c>
      <c r="T28" s="118"/>
      <c r="U28" s="119"/>
      <c r="W28" s="139"/>
      <c r="X28" s="121"/>
      <c r="Y28" s="122">
        <v>9000000</v>
      </c>
      <c r="Z28" s="123">
        <v>16870</v>
      </c>
      <c r="AA28" s="124"/>
      <c r="AB28" s="125"/>
      <c r="AC28" s="126"/>
      <c r="AD28" s="127"/>
      <c r="AE28" s="128"/>
      <c r="AF28" s="129"/>
      <c r="AG28" s="129"/>
    </row>
    <row r="29" spans="1:33" s="93" customFormat="1" ht="36" customHeight="1" x14ac:dyDescent="0.25">
      <c r="A29" s="76">
        <v>9</v>
      </c>
      <c r="B29" s="140" t="s">
        <v>39</v>
      </c>
      <c r="C29" s="78"/>
      <c r="D29" s="78"/>
      <c r="E29" s="79">
        <v>475</v>
      </c>
      <c r="F29" s="109" t="s">
        <v>29</v>
      </c>
      <c r="G29" s="79">
        <v>19</v>
      </c>
      <c r="H29" s="80" t="s">
        <v>30</v>
      </c>
      <c r="I29" s="141">
        <v>0.49</v>
      </c>
      <c r="J29" s="82">
        <v>233.7</v>
      </c>
      <c r="K29" s="111" t="s">
        <v>31</v>
      </c>
      <c r="L29" s="112"/>
      <c r="M29" s="85">
        <f t="shared" si="3"/>
        <v>233.7</v>
      </c>
      <c r="N29" s="113" t="s">
        <v>31</v>
      </c>
      <c r="O29" s="114"/>
      <c r="P29" s="88">
        <f t="shared" si="1"/>
        <v>1.7486662714878483</v>
      </c>
      <c r="Q29" s="89"/>
      <c r="R29" s="89"/>
      <c r="S29" s="90">
        <f>Y29/Z29</f>
        <v>830.61647895672797</v>
      </c>
      <c r="T29" s="91"/>
      <c r="U29" s="92"/>
      <c r="W29" s="94"/>
      <c r="X29" s="103"/>
      <c r="Y29" s="95">
        <v>14012500</v>
      </c>
      <c r="Z29" s="96">
        <v>16870</v>
      </c>
      <c r="AA29" s="97"/>
      <c r="AB29" s="98"/>
      <c r="AC29" s="99"/>
      <c r="AD29" s="100"/>
      <c r="AE29" s="101"/>
      <c r="AF29" s="67"/>
      <c r="AG29" s="67"/>
    </row>
    <row r="30" spans="1:33" s="93" customFormat="1" ht="36" customHeight="1" x14ac:dyDescent="0.25">
      <c r="A30" s="105">
        <v>10</v>
      </c>
      <c r="B30" s="140" t="s">
        <v>39</v>
      </c>
      <c r="C30" s="78"/>
      <c r="D30" s="78"/>
      <c r="E30" s="79">
        <v>25</v>
      </c>
      <c r="F30" s="109" t="s">
        <v>29</v>
      </c>
      <c r="G30" s="79">
        <v>1</v>
      </c>
      <c r="H30" s="80" t="s">
        <v>30</v>
      </c>
      <c r="I30" s="141">
        <v>0.49</v>
      </c>
      <c r="J30" s="82">
        <v>9.35</v>
      </c>
      <c r="K30" s="111" t="s">
        <v>31</v>
      </c>
      <c r="L30" s="112"/>
      <c r="M30" s="85">
        <f t="shared" si="3"/>
        <v>9.35</v>
      </c>
      <c r="N30" s="113" t="s">
        <v>31</v>
      </c>
      <c r="O30" s="114"/>
      <c r="P30" s="88">
        <f t="shared" si="1"/>
        <v>1.3289863663307648</v>
      </c>
      <c r="Q30" s="89"/>
      <c r="R30" s="89"/>
      <c r="S30" s="90">
        <f t="shared" ref="S30:S44" si="4">Y30/Z30</f>
        <v>33.22465915826912</v>
      </c>
      <c r="T30" s="91"/>
      <c r="U30" s="92"/>
      <c r="W30" s="94"/>
      <c r="X30" s="103"/>
      <c r="Y30" s="95">
        <v>560500</v>
      </c>
      <c r="Z30" s="96">
        <v>16870</v>
      </c>
      <c r="AA30" s="97"/>
      <c r="AB30" s="98"/>
      <c r="AC30" s="99"/>
      <c r="AD30" s="100"/>
      <c r="AE30" s="101"/>
      <c r="AF30" s="67"/>
      <c r="AG30" s="67"/>
    </row>
    <row r="31" spans="1:33" s="93" customFormat="1" ht="36" customHeight="1" x14ac:dyDescent="0.25">
      <c r="A31" s="76">
        <v>11</v>
      </c>
      <c r="B31" s="140" t="s">
        <v>40</v>
      </c>
      <c r="C31" s="78"/>
      <c r="D31" s="78"/>
      <c r="E31" s="79">
        <v>550</v>
      </c>
      <c r="F31" s="109" t="s">
        <v>29</v>
      </c>
      <c r="G31" s="79">
        <v>80</v>
      </c>
      <c r="H31" s="80" t="s">
        <v>30</v>
      </c>
      <c r="I31" s="141">
        <v>0.65</v>
      </c>
      <c r="J31" s="82">
        <v>358.6</v>
      </c>
      <c r="K31" s="111" t="s">
        <v>31</v>
      </c>
      <c r="L31" s="112"/>
      <c r="M31" s="85">
        <f t="shared" si="3"/>
        <v>358.6</v>
      </c>
      <c r="N31" s="113" t="s">
        <v>31</v>
      </c>
      <c r="O31" s="114"/>
      <c r="P31" s="88">
        <f t="shared" si="1"/>
        <v>2.193242442205098</v>
      </c>
      <c r="Q31" s="89"/>
      <c r="R31" s="89"/>
      <c r="S31" s="90">
        <f t="shared" si="4"/>
        <v>1206.2833432128039</v>
      </c>
      <c r="T31" s="91"/>
      <c r="U31" s="92"/>
      <c r="W31" s="94"/>
      <c r="X31" s="103"/>
      <c r="Y31" s="95">
        <v>20350000</v>
      </c>
      <c r="Z31" s="96">
        <v>16870</v>
      </c>
      <c r="AA31" s="97"/>
      <c r="AB31" s="98"/>
      <c r="AC31" s="99"/>
      <c r="AD31" s="100"/>
      <c r="AE31" s="101"/>
      <c r="AF31" s="67"/>
      <c r="AG31" s="67"/>
    </row>
    <row r="32" spans="1:33" s="93" customFormat="1" ht="36" customHeight="1" x14ac:dyDescent="0.25">
      <c r="A32" s="105">
        <v>12</v>
      </c>
      <c r="B32" s="140" t="s">
        <v>41</v>
      </c>
      <c r="C32" s="78"/>
      <c r="D32" s="78"/>
      <c r="E32" s="79">
        <v>530</v>
      </c>
      <c r="F32" s="109" t="s">
        <v>29</v>
      </c>
      <c r="G32" s="79">
        <v>56</v>
      </c>
      <c r="H32" s="80" t="s">
        <v>30</v>
      </c>
      <c r="I32" s="141">
        <v>0.81</v>
      </c>
      <c r="J32" s="82">
        <f t="shared" ref="J32:J38" si="5">E32*I32</f>
        <v>429.3</v>
      </c>
      <c r="K32" s="111" t="s">
        <v>31</v>
      </c>
      <c r="L32" s="112"/>
      <c r="M32" s="85">
        <f t="shared" si="3"/>
        <v>429.3</v>
      </c>
      <c r="N32" s="113" t="s">
        <v>31</v>
      </c>
      <c r="O32" s="114"/>
      <c r="P32" s="88">
        <f t="shared" si="1"/>
        <v>2.5785417901600471</v>
      </c>
      <c r="Q32" s="89"/>
      <c r="R32" s="89"/>
      <c r="S32" s="90">
        <f t="shared" si="4"/>
        <v>1366.6271487848251</v>
      </c>
      <c r="T32" s="91"/>
      <c r="U32" s="92"/>
      <c r="W32" s="94"/>
      <c r="X32" s="103"/>
      <c r="Y32" s="95">
        <v>23055000</v>
      </c>
      <c r="Z32" s="96">
        <v>16870</v>
      </c>
      <c r="AA32" s="97"/>
      <c r="AB32" s="98"/>
      <c r="AC32" s="99"/>
      <c r="AD32" s="100"/>
      <c r="AE32" s="101"/>
      <c r="AF32" s="67"/>
      <c r="AG32" s="67"/>
    </row>
    <row r="33" spans="1:33" s="93" customFormat="1" ht="36" customHeight="1" x14ac:dyDescent="0.25">
      <c r="A33" s="76">
        <v>13</v>
      </c>
      <c r="B33" s="140" t="s">
        <v>42</v>
      </c>
      <c r="C33" s="78"/>
      <c r="D33" s="78"/>
      <c r="E33" s="79">
        <v>500</v>
      </c>
      <c r="F33" s="109" t="s">
        <v>29</v>
      </c>
      <c r="G33" s="79">
        <v>50</v>
      </c>
      <c r="H33" s="80" t="s">
        <v>30</v>
      </c>
      <c r="I33" s="141">
        <v>0.97</v>
      </c>
      <c r="J33" s="82">
        <f t="shared" si="5"/>
        <v>485</v>
      </c>
      <c r="K33" s="111" t="s">
        <v>31</v>
      </c>
      <c r="L33" s="112"/>
      <c r="M33" s="85">
        <f t="shared" si="3"/>
        <v>485</v>
      </c>
      <c r="N33" s="113" t="s">
        <v>31</v>
      </c>
      <c r="O33" s="114"/>
      <c r="P33" s="88">
        <f t="shared" si="1"/>
        <v>3.1713100177830471</v>
      </c>
      <c r="Q33" s="89"/>
      <c r="R33" s="89"/>
      <c r="S33" s="90">
        <f t="shared" si="4"/>
        <v>1585.6550088915235</v>
      </c>
      <c r="T33" s="91"/>
      <c r="U33" s="92"/>
      <c r="W33" s="94"/>
      <c r="X33" s="103"/>
      <c r="Y33" s="95">
        <v>26750000</v>
      </c>
      <c r="Z33" s="96">
        <v>16870</v>
      </c>
      <c r="AA33" s="97"/>
      <c r="AB33" s="98"/>
      <c r="AC33" s="99"/>
      <c r="AD33" s="100"/>
      <c r="AE33" s="101"/>
      <c r="AF33" s="67"/>
      <c r="AG33" s="67"/>
    </row>
    <row r="34" spans="1:33" s="93" customFormat="1" ht="36" customHeight="1" x14ac:dyDescent="0.25">
      <c r="A34" s="105">
        <v>14</v>
      </c>
      <c r="B34" s="140" t="s">
        <v>43</v>
      </c>
      <c r="C34" s="78"/>
      <c r="D34" s="78"/>
      <c r="E34" s="79">
        <v>510</v>
      </c>
      <c r="F34" s="109" t="s">
        <v>29</v>
      </c>
      <c r="G34" s="79">
        <v>51</v>
      </c>
      <c r="H34" s="80" t="s">
        <v>30</v>
      </c>
      <c r="I34" s="141">
        <v>1.34</v>
      </c>
      <c r="J34" s="82">
        <f t="shared" si="5"/>
        <v>683.40000000000009</v>
      </c>
      <c r="K34" s="111" t="s">
        <v>31</v>
      </c>
      <c r="L34" s="112"/>
      <c r="M34" s="85">
        <f t="shared" si="3"/>
        <v>683.40000000000009</v>
      </c>
      <c r="N34" s="113" t="s">
        <v>31</v>
      </c>
      <c r="O34" s="114"/>
      <c r="P34" s="88">
        <f t="shared" si="1"/>
        <v>4.2264374629519859</v>
      </c>
      <c r="Q34" s="89"/>
      <c r="R34" s="89"/>
      <c r="S34" s="90">
        <f t="shared" si="4"/>
        <v>2155.4831061055129</v>
      </c>
      <c r="T34" s="91"/>
      <c r="U34" s="92"/>
      <c r="W34" s="94"/>
      <c r="X34" s="103"/>
      <c r="Y34" s="95">
        <v>36363000</v>
      </c>
      <c r="Z34" s="96">
        <v>16870</v>
      </c>
      <c r="AA34" s="97"/>
      <c r="AB34" s="98"/>
      <c r="AC34" s="99"/>
      <c r="AD34" s="100"/>
      <c r="AE34" s="101"/>
      <c r="AF34" s="67"/>
      <c r="AG34" s="67"/>
    </row>
    <row r="35" spans="1:33" s="93" customFormat="1" ht="36" customHeight="1" x14ac:dyDescent="0.25">
      <c r="A35" s="76">
        <v>15</v>
      </c>
      <c r="B35" s="140" t="s">
        <v>44</v>
      </c>
      <c r="C35" s="78"/>
      <c r="D35" s="78"/>
      <c r="E35" s="79">
        <v>212</v>
      </c>
      <c r="F35" s="109" t="s">
        <v>29</v>
      </c>
      <c r="G35" s="79">
        <v>212</v>
      </c>
      <c r="H35" s="80" t="s">
        <v>30</v>
      </c>
      <c r="I35" s="141">
        <v>1.7</v>
      </c>
      <c r="J35" s="82">
        <f t="shared" si="5"/>
        <v>360.4</v>
      </c>
      <c r="K35" s="111" t="s">
        <v>31</v>
      </c>
      <c r="L35" s="112"/>
      <c r="M35" s="85">
        <f t="shared" si="3"/>
        <v>360.4</v>
      </c>
      <c r="N35" s="113" t="s">
        <v>31</v>
      </c>
      <c r="O35" s="114"/>
      <c r="P35" s="88">
        <f t="shared" si="1"/>
        <v>2.2678126852400711</v>
      </c>
      <c r="Q35" s="89"/>
      <c r="R35" s="89"/>
      <c r="S35" s="90">
        <f t="shared" si="4"/>
        <v>480.77628927089506</v>
      </c>
      <c r="T35" s="91"/>
      <c r="U35" s="92"/>
      <c r="W35" s="94"/>
      <c r="X35" s="103"/>
      <c r="Y35" s="95">
        <v>8110696</v>
      </c>
      <c r="Z35" s="96">
        <v>16870</v>
      </c>
      <c r="AA35" s="97"/>
      <c r="AB35" s="98"/>
      <c r="AC35" s="99"/>
      <c r="AD35" s="100"/>
      <c r="AE35" s="101"/>
      <c r="AF35" s="67"/>
      <c r="AG35" s="67"/>
    </row>
    <row r="36" spans="1:33" s="93" customFormat="1" ht="36" customHeight="1" x14ac:dyDescent="0.25">
      <c r="A36" s="105">
        <v>16</v>
      </c>
      <c r="B36" s="140" t="s">
        <v>45</v>
      </c>
      <c r="C36" s="78"/>
      <c r="D36" s="78"/>
      <c r="E36" s="79">
        <v>188</v>
      </c>
      <c r="F36" s="109" t="s">
        <v>29</v>
      </c>
      <c r="G36" s="79">
        <v>188</v>
      </c>
      <c r="H36" s="80" t="s">
        <v>30</v>
      </c>
      <c r="I36" s="141">
        <v>2.2000000000000002</v>
      </c>
      <c r="J36" s="82">
        <f t="shared" si="5"/>
        <v>413.6</v>
      </c>
      <c r="K36" s="111" t="s">
        <v>31</v>
      </c>
      <c r="L36" s="112"/>
      <c r="M36" s="85">
        <f t="shared" si="3"/>
        <v>413.6</v>
      </c>
      <c r="N36" s="113" t="s">
        <v>31</v>
      </c>
      <c r="O36" s="114"/>
      <c r="P36" s="88">
        <f t="shared" si="1"/>
        <v>3.358684054534677</v>
      </c>
      <c r="Q36" s="89"/>
      <c r="R36" s="89"/>
      <c r="S36" s="90">
        <f t="shared" si="4"/>
        <v>631.43260225251925</v>
      </c>
      <c r="T36" s="91"/>
      <c r="U36" s="92"/>
      <c r="W36" s="94"/>
      <c r="X36" s="103"/>
      <c r="Y36" s="95">
        <v>10652268</v>
      </c>
      <c r="Z36" s="96">
        <v>16870</v>
      </c>
      <c r="AA36" s="97"/>
      <c r="AB36" s="98"/>
      <c r="AC36" s="99"/>
      <c r="AD36" s="100"/>
      <c r="AE36" s="101"/>
      <c r="AF36" s="67"/>
      <c r="AG36" s="67"/>
    </row>
    <row r="37" spans="1:33" s="93" customFormat="1" ht="36" customHeight="1" x14ac:dyDescent="0.25">
      <c r="A37" s="76">
        <v>17</v>
      </c>
      <c r="B37" s="140" t="s">
        <v>46</v>
      </c>
      <c r="C37" s="78"/>
      <c r="D37" s="78"/>
      <c r="E37" s="79">
        <v>172</v>
      </c>
      <c r="F37" s="109" t="s">
        <v>29</v>
      </c>
      <c r="G37" s="79">
        <v>172</v>
      </c>
      <c r="H37" s="80" t="s">
        <v>30</v>
      </c>
      <c r="I37" s="141">
        <v>2.4</v>
      </c>
      <c r="J37" s="82">
        <f t="shared" si="5"/>
        <v>412.8</v>
      </c>
      <c r="K37" s="111" t="s">
        <v>31</v>
      </c>
      <c r="L37" s="112"/>
      <c r="M37" s="85">
        <f t="shared" si="3"/>
        <v>412.8</v>
      </c>
      <c r="N37" s="113" t="s">
        <v>31</v>
      </c>
      <c r="O37" s="114"/>
      <c r="P37" s="88">
        <f t="shared" si="1"/>
        <v>4.6058091286307059</v>
      </c>
      <c r="Q37" s="89"/>
      <c r="R37" s="89"/>
      <c r="S37" s="90">
        <f t="shared" si="4"/>
        <v>792.19917012448138</v>
      </c>
      <c r="T37" s="91"/>
      <c r="U37" s="92"/>
      <c r="W37" s="94"/>
      <c r="X37" s="103"/>
      <c r="Y37" s="95">
        <v>13364400</v>
      </c>
      <c r="Z37" s="96">
        <v>16870</v>
      </c>
      <c r="AA37" s="97"/>
      <c r="AB37" s="98"/>
      <c r="AC37" s="99"/>
      <c r="AD37" s="100"/>
      <c r="AE37" s="101"/>
      <c r="AF37" s="67"/>
      <c r="AG37" s="67"/>
    </row>
    <row r="38" spans="1:33" s="93" customFormat="1" ht="36" customHeight="1" x14ac:dyDescent="0.25">
      <c r="A38" s="105">
        <v>18</v>
      </c>
      <c r="B38" s="140" t="s">
        <v>47</v>
      </c>
      <c r="C38" s="78"/>
      <c r="D38" s="78"/>
      <c r="E38" s="79">
        <v>240</v>
      </c>
      <c r="F38" s="109" t="s">
        <v>29</v>
      </c>
      <c r="G38" s="79">
        <v>60</v>
      </c>
      <c r="H38" s="80" t="s">
        <v>30</v>
      </c>
      <c r="I38" s="141">
        <v>2.2000000000000002</v>
      </c>
      <c r="J38" s="82">
        <f t="shared" si="5"/>
        <v>528</v>
      </c>
      <c r="K38" s="111" t="s">
        <v>31</v>
      </c>
      <c r="L38" s="112"/>
      <c r="M38" s="85">
        <f t="shared" si="3"/>
        <v>528</v>
      </c>
      <c r="N38" s="113" t="s">
        <v>31</v>
      </c>
      <c r="O38" s="114"/>
      <c r="P38" s="88">
        <f t="shared" si="1"/>
        <v>4.4742145820983996</v>
      </c>
      <c r="Q38" s="89"/>
      <c r="R38" s="89"/>
      <c r="S38" s="90">
        <f t="shared" si="4"/>
        <v>1073.8114997036159</v>
      </c>
      <c r="T38" s="91"/>
      <c r="U38" s="92"/>
      <c r="W38" s="94"/>
      <c r="X38" s="103"/>
      <c r="Y38" s="95">
        <v>18115200</v>
      </c>
      <c r="Z38" s="96">
        <v>16870</v>
      </c>
      <c r="AA38" s="97"/>
      <c r="AB38" s="98"/>
      <c r="AC38" s="99"/>
      <c r="AD38" s="100"/>
      <c r="AE38" s="101"/>
      <c r="AF38" s="67"/>
      <c r="AG38" s="67"/>
    </row>
    <row r="39" spans="1:33" s="93" customFormat="1" ht="36" customHeight="1" x14ac:dyDescent="0.25">
      <c r="A39" s="76">
        <v>19</v>
      </c>
      <c r="B39" s="140" t="s">
        <v>48</v>
      </c>
      <c r="C39" s="78"/>
      <c r="D39" s="78"/>
      <c r="E39" s="79">
        <v>3240</v>
      </c>
      <c r="F39" s="109" t="s">
        <v>29</v>
      </c>
      <c r="G39" s="79">
        <v>7</v>
      </c>
      <c r="H39" s="80" t="s">
        <v>30</v>
      </c>
      <c r="I39" s="141">
        <v>0.09</v>
      </c>
      <c r="J39" s="82">
        <v>299.7</v>
      </c>
      <c r="K39" s="111" t="s">
        <v>31</v>
      </c>
      <c r="L39" s="112"/>
      <c r="M39" s="85">
        <f>J39-G39</f>
        <v>292.7</v>
      </c>
      <c r="N39" s="113" t="s">
        <v>31</v>
      </c>
      <c r="O39" s="114"/>
      <c r="P39" s="88">
        <f t="shared" si="1"/>
        <v>0.17783046828689983</v>
      </c>
      <c r="Q39" s="89"/>
      <c r="R39" s="89"/>
      <c r="S39" s="90">
        <f t="shared" si="4"/>
        <v>576.17071724955542</v>
      </c>
      <c r="T39" s="91"/>
      <c r="U39" s="92"/>
      <c r="W39" s="94"/>
      <c r="X39" s="103"/>
      <c r="Y39" s="95">
        <v>9720000</v>
      </c>
      <c r="Z39" s="96">
        <v>16870</v>
      </c>
      <c r="AA39" s="97"/>
      <c r="AB39" s="98"/>
      <c r="AC39" s="99"/>
      <c r="AD39" s="100"/>
      <c r="AE39" s="101"/>
      <c r="AF39" s="67"/>
      <c r="AG39" s="67"/>
    </row>
    <row r="40" spans="1:33" s="93" customFormat="1" ht="36" customHeight="1" x14ac:dyDescent="0.25">
      <c r="A40" s="105">
        <v>20</v>
      </c>
      <c r="B40" s="140" t="s">
        <v>49</v>
      </c>
      <c r="C40" s="78"/>
      <c r="D40" s="78"/>
      <c r="E40" s="79">
        <v>780</v>
      </c>
      <c r="F40" s="109" t="s">
        <v>29</v>
      </c>
      <c r="G40" s="79">
        <v>10</v>
      </c>
      <c r="H40" s="80" t="s">
        <v>30</v>
      </c>
      <c r="I40" s="141">
        <v>0.25</v>
      </c>
      <c r="J40" s="82">
        <v>226.5</v>
      </c>
      <c r="K40" s="111" t="s">
        <v>31</v>
      </c>
      <c r="L40" s="112"/>
      <c r="M40" s="85">
        <f>J40-G40</f>
        <v>216.5</v>
      </c>
      <c r="N40" s="113" t="s">
        <v>31</v>
      </c>
      <c r="O40" s="114"/>
      <c r="P40" s="88">
        <f t="shared" si="1"/>
        <v>0.56392777347134193</v>
      </c>
      <c r="Q40" s="89"/>
      <c r="R40" s="89"/>
      <c r="S40" s="90">
        <f t="shared" si="4"/>
        <v>439.86366330764673</v>
      </c>
      <c r="T40" s="91"/>
      <c r="U40" s="92"/>
      <c r="W40" s="94"/>
      <c r="X40" s="103"/>
      <c r="Y40" s="95">
        <v>7420500</v>
      </c>
      <c r="Z40" s="96">
        <v>16870</v>
      </c>
      <c r="AA40" s="97"/>
      <c r="AB40" s="98"/>
      <c r="AC40" s="99"/>
      <c r="AD40" s="100"/>
      <c r="AE40" s="101"/>
      <c r="AF40" s="67"/>
      <c r="AG40" s="67"/>
    </row>
    <row r="41" spans="1:33" s="93" customFormat="1" ht="36" customHeight="1" x14ac:dyDescent="0.25">
      <c r="A41" s="76">
        <v>21</v>
      </c>
      <c r="B41" s="140" t="s">
        <v>50</v>
      </c>
      <c r="C41" s="78"/>
      <c r="D41" s="78"/>
      <c r="E41" s="79">
        <v>1560</v>
      </c>
      <c r="F41" s="109" t="s">
        <v>29</v>
      </c>
      <c r="G41" s="79">
        <v>10</v>
      </c>
      <c r="H41" s="80" t="s">
        <v>30</v>
      </c>
      <c r="I41" s="141">
        <v>0.45</v>
      </c>
      <c r="J41" s="82">
        <v>648</v>
      </c>
      <c r="K41" s="111" t="s">
        <v>31</v>
      </c>
      <c r="L41" s="112"/>
      <c r="M41" s="85">
        <f>J41-G41</f>
        <v>638</v>
      </c>
      <c r="N41" s="113" t="s">
        <v>31</v>
      </c>
      <c r="O41" s="114"/>
      <c r="P41" s="88">
        <f t="shared" si="1"/>
        <v>0.63690666180292732</v>
      </c>
      <c r="Q41" s="89"/>
      <c r="R41" s="89"/>
      <c r="S41" s="90">
        <f t="shared" si="4"/>
        <v>993.57439241256668</v>
      </c>
      <c r="T41" s="91"/>
      <c r="U41" s="92"/>
      <c r="W41" s="94"/>
      <c r="X41" s="103"/>
      <c r="Y41" s="95">
        <v>16761600</v>
      </c>
      <c r="Z41" s="96">
        <v>16870</v>
      </c>
      <c r="AA41" s="97"/>
      <c r="AB41" s="98"/>
      <c r="AC41" s="99"/>
      <c r="AD41" s="100"/>
      <c r="AE41" s="101"/>
      <c r="AF41" s="67"/>
      <c r="AG41" s="67"/>
    </row>
    <row r="42" spans="1:33" s="93" customFormat="1" ht="36" customHeight="1" x14ac:dyDescent="0.25">
      <c r="A42" s="105">
        <v>22</v>
      </c>
      <c r="B42" s="140" t="s">
        <v>51</v>
      </c>
      <c r="C42" s="78"/>
      <c r="D42" s="78"/>
      <c r="E42" s="79">
        <v>217</v>
      </c>
      <c r="F42" s="109" t="s">
        <v>29</v>
      </c>
      <c r="G42" s="79">
        <v>217</v>
      </c>
      <c r="H42" s="80" t="s">
        <v>30</v>
      </c>
      <c r="I42" s="141">
        <v>4.3</v>
      </c>
      <c r="J42" s="82">
        <f>E42*I42</f>
        <v>933.09999999999991</v>
      </c>
      <c r="K42" s="111" t="s">
        <v>31</v>
      </c>
      <c r="L42" s="112"/>
      <c r="M42" s="85">
        <f>J42</f>
        <v>933.09999999999991</v>
      </c>
      <c r="N42" s="113" t="s">
        <v>31</v>
      </c>
      <c r="O42" s="114"/>
      <c r="P42" s="88">
        <f t="shared" si="1"/>
        <v>5.7498518079430943</v>
      </c>
      <c r="Q42" s="89"/>
      <c r="R42" s="89"/>
      <c r="S42" s="90">
        <f t="shared" si="4"/>
        <v>1247.7178423236514</v>
      </c>
      <c r="T42" s="91"/>
      <c r="U42" s="92"/>
      <c r="W42" s="94"/>
      <c r="X42" s="103"/>
      <c r="Y42" s="95">
        <v>21049000</v>
      </c>
      <c r="Z42" s="96">
        <v>16870</v>
      </c>
      <c r="AA42" s="97"/>
      <c r="AB42" s="98"/>
      <c r="AC42" s="99"/>
      <c r="AD42" s="100"/>
      <c r="AE42" s="101"/>
      <c r="AF42" s="67"/>
      <c r="AG42" s="67"/>
    </row>
    <row r="43" spans="1:33" s="93" customFormat="1" ht="36" customHeight="1" x14ac:dyDescent="0.25">
      <c r="A43" s="76">
        <v>23</v>
      </c>
      <c r="B43" s="140" t="s">
        <v>52</v>
      </c>
      <c r="C43" s="78"/>
      <c r="D43" s="78"/>
      <c r="E43" s="79">
        <v>350</v>
      </c>
      <c r="F43" s="109" t="s">
        <v>29</v>
      </c>
      <c r="G43" s="79">
        <v>18</v>
      </c>
      <c r="H43" s="80" t="s">
        <v>30</v>
      </c>
      <c r="I43" s="141">
        <v>0.7</v>
      </c>
      <c r="J43" s="82">
        <f>E43*I43</f>
        <v>244.99999999999997</v>
      </c>
      <c r="K43" s="111" t="s">
        <v>31</v>
      </c>
      <c r="L43" s="112"/>
      <c r="M43" s="85">
        <f>J43</f>
        <v>244.99999999999997</v>
      </c>
      <c r="N43" s="113" t="s">
        <v>31</v>
      </c>
      <c r="O43" s="114"/>
      <c r="P43" s="88">
        <f t="shared" si="1"/>
        <v>1.155898043864849</v>
      </c>
      <c r="Q43" s="89"/>
      <c r="R43" s="89"/>
      <c r="S43" s="90">
        <f t="shared" si="4"/>
        <v>404.56431535269712</v>
      </c>
      <c r="T43" s="91"/>
      <c r="U43" s="92"/>
      <c r="W43" s="94"/>
      <c r="X43" s="103"/>
      <c r="Y43" s="95">
        <v>6825000</v>
      </c>
      <c r="Z43" s="96">
        <v>16870</v>
      </c>
      <c r="AA43" s="97"/>
      <c r="AB43" s="98"/>
      <c r="AC43" s="99"/>
      <c r="AD43" s="100"/>
      <c r="AE43" s="101"/>
      <c r="AF43" s="67"/>
      <c r="AG43" s="67"/>
    </row>
    <row r="44" spans="1:33" s="93" customFormat="1" ht="36" customHeight="1" x14ac:dyDescent="0.25">
      <c r="A44" s="105">
        <v>24</v>
      </c>
      <c r="B44" s="140" t="s">
        <v>53</v>
      </c>
      <c r="C44" s="78"/>
      <c r="D44" s="78"/>
      <c r="E44" s="79">
        <v>250</v>
      </c>
      <c r="F44" s="109" t="s">
        <v>29</v>
      </c>
      <c r="G44" s="79">
        <v>33</v>
      </c>
      <c r="H44" s="80" t="s">
        <v>30</v>
      </c>
      <c r="I44" s="141">
        <v>0.61</v>
      </c>
      <c r="J44" s="82">
        <v>146</v>
      </c>
      <c r="K44" s="111" t="s">
        <v>31</v>
      </c>
      <c r="L44" s="112"/>
      <c r="M44" s="85">
        <f>J44-G44</f>
        <v>113</v>
      </c>
      <c r="N44" s="113" t="s">
        <v>31</v>
      </c>
      <c r="O44" s="114"/>
      <c r="P44" s="88">
        <f t="shared" si="1"/>
        <v>2.9401304090100773</v>
      </c>
      <c r="Q44" s="89"/>
      <c r="R44" s="89"/>
      <c r="S44" s="90">
        <f t="shared" si="4"/>
        <v>735.03260225251927</v>
      </c>
      <c r="T44" s="91"/>
      <c r="U44" s="92"/>
      <c r="W44" s="94"/>
      <c r="X44" s="103"/>
      <c r="Y44" s="95">
        <v>12400000</v>
      </c>
      <c r="Z44" s="96">
        <v>16870</v>
      </c>
      <c r="AA44" s="97"/>
      <c r="AB44" s="98"/>
      <c r="AC44" s="99"/>
      <c r="AD44" s="100"/>
      <c r="AE44" s="101"/>
      <c r="AF44" s="67"/>
      <c r="AG44" s="67"/>
    </row>
    <row r="45" spans="1:33" s="93" customFormat="1" ht="36" customHeight="1" x14ac:dyDescent="0.25">
      <c r="A45" s="76"/>
      <c r="B45" s="140"/>
      <c r="C45" s="78"/>
      <c r="D45" s="78"/>
      <c r="E45" s="79"/>
      <c r="F45" s="109"/>
      <c r="G45" s="79"/>
      <c r="H45" s="80"/>
      <c r="I45" s="141"/>
      <c r="J45" s="82"/>
      <c r="K45" s="142"/>
      <c r="L45" s="143"/>
      <c r="M45" s="85"/>
      <c r="N45" s="144"/>
      <c r="O45" s="145"/>
      <c r="P45" s="146"/>
      <c r="Q45" s="147"/>
      <c r="R45" s="147"/>
      <c r="S45" s="90"/>
      <c r="T45" s="91"/>
      <c r="U45" s="92"/>
      <c r="W45" s="94"/>
      <c r="X45" s="103"/>
      <c r="Y45" s="95">
        <f>SUM(Y21:Y44)</f>
        <v>392472768</v>
      </c>
      <c r="Z45" s="96"/>
      <c r="AA45" s="97"/>
      <c r="AB45" s="98"/>
      <c r="AC45" s="99"/>
      <c r="AD45" s="100"/>
      <c r="AE45" s="101"/>
      <c r="AF45" s="67"/>
      <c r="AG45" s="67"/>
    </row>
    <row r="46" spans="1:33" s="93" customFormat="1" ht="36" customHeight="1" thickBot="1" x14ac:dyDescent="0.3">
      <c r="A46" s="76"/>
      <c r="B46" s="148"/>
      <c r="C46" s="78"/>
      <c r="D46" s="149"/>
      <c r="E46" s="79"/>
      <c r="F46" s="109"/>
      <c r="G46" s="79"/>
      <c r="H46" s="80"/>
      <c r="I46" s="141"/>
      <c r="J46" s="82"/>
      <c r="K46" s="142"/>
      <c r="L46" s="143"/>
      <c r="M46" s="85"/>
      <c r="N46" s="144"/>
      <c r="O46" s="145"/>
      <c r="P46" s="146"/>
      <c r="Q46" s="147"/>
      <c r="R46" s="147"/>
      <c r="S46" s="150"/>
      <c r="T46" s="151"/>
      <c r="U46" s="152"/>
      <c r="W46" s="94"/>
      <c r="X46" s="103"/>
      <c r="Y46" s="95"/>
      <c r="Z46" s="96"/>
      <c r="AA46" s="97"/>
      <c r="AB46" s="98"/>
      <c r="AC46" s="99"/>
      <c r="AD46" s="100"/>
      <c r="AE46" s="101"/>
      <c r="AF46" s="67"/>
      <c r="AG46" s="67"/>
    </row>
    <row r="47" spans="1:33" s="166" customFormat="1" ht="14.1" customHeight="1" thickBot="1" x14ac:dyDescent="0.3">
      <c r="A47" s="153"/>
      <c r="B47" s="50" t="s">
        <v>54</v>
      </c>
      <c r="C47" s="51"/>
      <c r="D47" s="52"/>
      <c r="E47" s="154">
        <f>SUM(E21:E44)</f>
        <v>74257</v>
      </c>
      <c r="F47" s="155" t="s">
        <v>29</v>
      </c>
      <c r="G47" s="156">
        <f>SUM(G21:G44)</f>
        <v>1397</v>
      </c>
      <c r="H47" s="57" t="s">
        <v>55</v>
      </c>
      <c r="I47" s="157" t="s">
        <v>56</v>
      </c>
      <c r="J47" s="158">
        <f>SUM(J21:J44)</f>
        <v>12606.95</v>
      </c>
      <c r="K47" s="159" t="s">
        <v>31</v>
      </c>
      <c r="L47" s="160"/>
      <c r="M47" s="158">
        <f>SUM(M21:M44)</f>
        <v>12405.95</v>
      </c>
      <c r="N47" s="50" t="s">
        <v>31</v>
      </c>
      <c r="O47" s="52"/>
      <c r="P47" s="161" t="s">
        <v>56</v>
      </c>
      <c r="Q47" s="162"/>
      <c r="R47" s="162"/>
      <c r="S47" s="163">
        <f>23264.537</f>
        <v>23264.537</v>
      </c>
      <c r="T47" s="164"/>
      <c r="U47" s="165"/>
      <c r="W47" s="3"/>
      <c r="X47" s="4"/>
      <c r="Y47" s="5"/>
      <c r="Z47" s="6"/>
      <c r="AA47" s="167"/>
      <c r="AB47" s="168"/>
      <c r="AC47" s="169"/>
      <c r="AD47" s="170"/>
      <c r="AF47" s="171"/>
    </row>
    <row r="48" spans="1:33" s="166" customFormat="1" ht="14.1" customHeight="1" thickBot="1" x14ac:dyDescent="0.3">
      <c r="A48" s="172"/>
      <c r="B48" s="58"/>
      <c r="C48" s="59"/>
      <c r="D48" s="60"/>
      <c r="E48" s="173"/>
      <c r="F48" s="174"/>
      <c r="G48" s="175"/>
      <c r="H48" s="57"/>
      <c r="I48" s="176"/>
      <c r="J48" s="177"/>
      <c r="K48" s="178"/>
      <c r="L48" s="179"/>
      <c r="M48" s="177"/>
      <c r="N48" s="58"/>
      <c r="O48" s="60"/>
      <c r="P48" s="180"/>
      <c r="Q48" s="181"/>
      <c r="R48" s="181"/>
      <c r="S48" s="182"/>
      <c r="T48" s="183"/>
      <c r="U48" s="184"/>
      <c r="W48" s="3"/>
      <c r="X48" s="4"/>
      <c r="Y48" s="5"/>
      <c r="Z48" s="185"/>
      <c r="AA48" s="167"/>
      <c r="AB48" s="168"/>
      <c r="AC48" s="169"/>
      <c r="AD48" s="170"/>
      <c r="AF48" s="171"/>
    </row>
    <row r="49" spans="5:25" ht="5.0999999999999996" customHeight="1" x14ac:dyDescent="0.25">
      <c r="Y49" s="187"/>
    </row>
    <row r="50" spans="5:25" ht="9" customHeight="1" x14ac:dyDescent="0.25">
      <c r="O50" s="188" t="s">
        <v>69</v>
      </c>
      <c r="P50" s="188"/>
      <c r="Q50" s="188"/>
      <c r="R50" s="188"/>
      <c r="S50" s="189" t="str">
        <f>F15</f>
        <v>26-01-2025</v>
      </c>
      <c r="T50" s="189"/>
      <c r="X50" s="168"/>
    </row>
    <row r="51" spans="5:25" ht="10.5" customHeight="1" x14ac:dyDescent="0.25">
      <c r="P51" s="190"/>
      <c r="Q51" s="191" t="s">
        <v>57</v>
      </c>
      <c r="R51" s="191"/>
      <c r="S51" s="191"/>
      <c r="T51" s="191"/>
      <c r="U51" s="190"/>
      <c r="X51" s="168"/>
    </row>
    <row r="52" spans="5:25" ht="8.4499999999999993" customHeight="1" x14ac:dyDescent="0.25">
      <c r="P52" s="190"/>
      <c r="Q52" s="190"/>
      <c r="R52" s="190"/>
      <c r="S52" s="190"/>
      <c r="T52" s="190"/>
      <c r="U52" s="190"/>
    </row>
    <row r="53" spans="5:25" ht="8.4499999999999993" customHeight="1" x14ac:dyDescent="0.25">
      <c r="P53" s="190"/>
      <c r="Q53" s="190"/>
      <c r="R53" s="190"/>
      <c r="S53" s="190"/>
      <c r="T53" s="190"/>
      <c r="U53" s="190"/>
    </row>
    <row r="54" spans="5:25" ht="8.4499999999999993" customHeight="1" x14ac:dyDescent="0.25">
      <c r="E54" s="192"/>
      <c r="I54" s="4"/>
      <c r="K54" s="22"/>
      <c r="L54" s="22"/>
      <c r="P54" s="191"/>
      <c r="Q54" s="191"/>
      <c r="R54" s="191"/>
      <c r="S54" s="191"/>
      <c r="T54" s="191"/>
    </row>
    <row r="55" spans="5:25" ht="8.4499999999999993" customHeight="1" x14ac:dyDescent="0.25">
      <c r="P55" s="191"/>
      <c r="Q55" s="191"/>
      <c r="R55" s="191"/>
      <c r="S55" s="191"/>
      <c r="T55" s="191"/>
    </row>
    <row r="56" spans="5:25" ht="12" customHeight="1" x14ac:dyDescent="0.25">
      <c r="E56" s="193"/>
      <c r="M56" s="16"/>
      <c r="N56" s="12" t="s">
        <v>70</v>
      </c>
      <c r="O56" s="12"/>
      <c r="P56" s="12"/>
      <c r="Q56" s="12"/>
      <c r="R56" s="12"/>
      <c r="S56" s="12"/>
      <c r="T56" s="12"/>
      <c r="U56" s="12"/>
    </row>
    <row r="57" spans="5:25" ht="9" customHeight="1" x14ac:dyDescent="0.25">
      <c r="P57" s="191"/>
      <c r="Q57" s="191"/>
      <c r="R57" s="191"/>
      <c r="S57" s="191"/>
      <c r="T57" s="191"/>
    </row>
    <row r="58" spans="5:25" ht="9.9499999999999993" customHeight="1" x14ac:dyDescent="0.25">
      <c r="T58" s="22"/>
    </row>
    <row r="59" spans="5:25" ht="9.9499999999999993" customHeight="1" x14ac:dyDescent="0.25"/>
    <row r="60" spans="5:25" ht="9.9499999999999993" customHeight="1" x14ac:dyDescent="0.25"/>
    <row r="61" spans="5:25" ht="9.9499999999999993" customHeight="1" x14ac:dyDescent="0.25"/>
    <row r="62" spans="5:25" ht="9.9499999999999993" customHeight="1" x14ac:dyDescent="0.25"/>
    <row r="63" spans="5:25" ht="9.9499999999999993" customHeight="1" x14ac:dyDescent="0.25"/>
    <row r="64" spans="5:25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19" ht="9.9499999999999993" customHeight="1" x14ac:dyDescent="0.25"/>
    <row r="120" ht="9.9499999999999993" customHeight="1" x14ac:dyDescent="0.25"/>
    <row r="121" ht="9.9499999999999993" customHeight="1" x14ac:dyDescent="0.25"/>
    <row r="122" ht="9.9499999999999993" customHeight="1" x14ac:dyDescent="0.25"/>
    <row r="123" ht="9.9499999999999993" customHeight="1" x14ac:dyDescent="0.25"/>
    <row r="124" ht="9.9499999999999993" customHeight="1" x14ac:dyDescent="0.25"/>
    <row r="125" ht="9.9499999999999993" customHeight="1" x14ac:dyDescent="0.25"/>
    <row r="126" ht="9.9499999999999993" customHeight="1" x14ac:dyDescent="0.25"/>
    <row r="127" ht="9.9499999999999993" customHeight="1" x14ac:dyDescent="0.25"/>
    <row r="128" ht="9.9499999999999993" customHeight="1" x14ac:dyDescent="0.25"/>
    <row r="129" ht="9.9499999999999993" customHeight="1" x14ac:dyDescent="0.25"/>
    <row r="130" ht="9.9499999999999993" customHeight="1" x14ac:dyDescent="0.25"/>
    <row r="131" ht="9.9499999999999993" customHeight="1" x14ac:dyDescent="0.25"/>
    <row r="132" ht="9.9499999999999993" customHeight="1" x14ac:dyDescent="0.25"/>
    <row r="133" ht="9.9499999999999993" customHeight="1" x14ac:dyDescent="0.25"/>
    <row r="134" ht="9.9499999999999993" customHeight="1" x14ac:dyDescent="0.25"/>
    <row r="135" ht="9.9499999999999993" customHeight="1" x14ac:dyDescent="0.25"/>
    <row r="136" ht="9.9499999999999993" customHeight="1" x14ac:dyDescent="0.25"/>
    <row r="137" ht="9.9499999999999993" customHeight="1" x14ac:dyDescent="0.25"/>
    <row r="138" ht="9.9499999999999993" customHeight="1" x14ac:dyDescent="0.25"/>
    <row r="139" ht="9.9499999999999993" customHeight="1" x14ac:dyDescent="0.25"/>
    <row r="140" ht="9.9499999999999993" customHeight="1" x14ac:dyDescent="0.25"/>
    <row r="141" ht="9.9499999999999993" customHeight="1" x14ac:dyDescent="0.25"/>
    <row r="142" ht="9.9499999999999993" customHeight="1" x14ac:dyDescent="0.25"/>
    <row r="143" ht="9.9499999999999993" customHeight="1" x14ac:dyDescent="0.25"/>
    <row r="144" ht="9.9499999999999993" customHeight="1" x14ac:dyDescent="0.25"/>
    <row r="145" ht="9.9499999999999993" customHeight="1" x14ac:dyDescent="0.25"/>
    <row r="146" ht="9.9499999999999993" customHeight="1" x14ac:dyDescent="0.25"/>
    <row r="147" ht="9.9499999999999993" customHeight="1" x14ac:dyDescent="0.25"/>
    <row r="148" ht="9.9499999999999993" customHeight="1" x14ac:dyDescent="0.25"/>
    <row r="149" ht="9.9499999999999993" customHeight="1" x14ac:dyDescent="0.25"/>
    <row r="150" ht="9.9499999999999993" customHeight="1" x14ac:dyDescent="0.25"/>
    <row r="151" ht="9.9499999999999993" customHeight="1" x14ac:dyDescent="0.25"/>
    <row r="152" ht="9.9499999999999993" customHeight="1" x14ac:dyDescent="0.25"/>
    <row r="153" ht="9.9499999999999993" customHeight="1" x14ac:dyDescent="0.25"/>
    <row r="154" ht="9.9499999999999993" customHeight="1" x14ac:dyDescent="0.25"/>
    <row r="155" ht="9.9499999999999993" customHeight="1" x14ac:dyDescent="0.25"/>
    <row r="156" ht="9.9499999999999993" customHeight="1" x14ac:dyDescent="0.25"/>
    <row r="157" ht="9.9499999999999993" customHeight="1" x14ac:dyDescent="0.25"/>
    <row r="158" ht="9.9499999999999993" customHeight="1" x14ac:dyDescent="0.25"/>
    <row r="159" ht="9.9499999999999993" customHeight="1" x14ac:dyDescent="0.25"/>
    <row r="160" ht="9.9499999999999993" customHeight="1" x14ac:dyDescent="0.25"/>
    <row r="161" ht="9.9499999999999993" customHeight="1" x14ac:dyDescent="0.25"/>
    <row r="162" ht="9.9499999999999993" customHeight="1" x14ac:dyDescent="0.25"/>
    <row r="163" ht="9.9499999999999993" customHeight="1" x14ac:dyDescent="0.25"/>
    <row r="164" ht="9.9499999999999993" customHeight="1" x14ac:dyDescent="0.25"/>
    <row r="165" ht="9.9499999999999993" customHeight="1" x14ac:dyDescent="0.25"/>
    <row r="166" ht="9.9499999999999993" customHeight="1" x14ac:dyDescent="0.25"/>
    <row r="167" ht="9.9499999999999993" customHeight="1" x14ac:dyDescent="0.25"/>
    <row r="168" ht="9.9499999999999993" customHeight="1" x14ac:dyDescent="0.25"/>
    <row r="169" ht="9.9499999999999993" customHeight="1" x14ac:dyDescent="0.25"/>
    <row r="170" ht="9.9499999999999993" customHeight="1" x14ac:dyDescent="0.25"/>
    <row r="171" ht="9.9499999999999993" customHeight="1" x14ac:dyDescent="0.25"/>
    <row r="172" ht="9.9499999999999993" customHeight="1" x14ac:dyDescent="0.25"/>
    <row r="173" ht="9.9499999999999993" customHeight="1" x14ac:dyDescent="0.25"/>
    <row r="174" ht="9.9499999999999993" customHeight="1" x14ac:dyDescent="0.25"/>
    <row r="175" ht="9.9499999999999993" customHeight="1" x14ac:dyDescent="0.25"/>
    <row r="176" ht="9.9499999999999993" customHeight="1" x14ac:dyDescent="0.25"/>
    <row r="177" ht="9.9499999999999993" customHeight="1" x14ac:dyDescent="0.25"/>
    <row r="178" ht="9.9499999999999993" customHeight="1" x14ac:dyDescent="0.25"/>
    <row r="179" ht="9.9499999999999993" customHeight="1" x14ac:dyDescent="0.25"/>
    <row r="180" ht="9.9499999999999993" customHeight="1" x14ac:dyDescent="0.25"/>
    <row r="181" ht="9.9499999999999993" customHeight="1" x14ac:dyDescent="0.25"/>
    <row r="182" ht="9.9499999999999993" customHeight="1" x14ac:dyDescent="0.25"/>
    <row r="183" ht="9.9499999999999993" customHeight="1" x14ac:dyDescent="0.25"/>
    <row r="184" ht="9.9499999999999993" customHeight="1" x14ac:dyDescent="0.25"/>
    <row r="185" ht="9.9499999999999993" customHeight="1" x14ac:dyDescent="0.25"/>
    <row r="186" ht="9.9499999999999993" customHeight="1" x14ac:dyDescent="0.25"/>
    <row r="187" ht="9.9499999999999993" customHeight="1" x14ac:dyDescent="0.25"/>
    <row r="188" ht="9.9499999999999993" customHeight="1" x14ac:dyDescent="0.25"/>
    <row r="189" ht="9.9499999999999993" customHeight="1" x14ac:dyDescent="0.25"/>
    <row r="190" ht="9.9499999999999993" customHeight="1" x14ac:dyDescent="0.25"/>
    <row r="191" ht="9.9499999999999993" customHeight="1" x14ac:dyDescent="0.25"/>
    <row r="192" ht="9.9499999999999993" customHeight="1" x14ac:dyDescent="0.25"/>
    <row r="193" ht="9.9499999999999993" customHeight="1" x14ac:dyDescent="0.25"/>
    <row r="194" ht="9.9499999999999993" customHeight="1" x14ac:dyDescent="0.25"/>
    <row r="195" ht="9.9499999999999993" customHeight="1" x14ac:dyDescent="0.25"/>
    <row r="196" ht="9.9499999999999993" customHeight="1" x14ac:dyDescent="0.25"/>
    <row r="197" ht="9.9499999999999993" customHeight="1" x14ac:dyDescent="0.25"/>
    <row r="198" ht="9.9499999999999993" customHeight="1" x14ac:dyDescent="0.25"/>
    <row r="199" ht="9.9499999999999993" customHeight="1" x14ac:dyDescent="0.25"/>
    <row r="200" ht="9.9499999999999993" customHeight="1" x14ac:dyDescent="0.25"/>
    <row r="201" ht="9.9499999999999993" customHeight="1" x14ac:dyDescent="0.25"/>
    <row r="202" ht="9.9499999999999993" customHeight="1" x14ac:dyDescent="0.25"/>
    <row r="203" ht="9.9499999999999993" customHeight="1" x14ac:dyDescent="0.25"/>
    <row r="204" ht="9.9499999999999993" customHeight="1" x14ac:dyDescent="0.25"/>
    <row r="205" ht="9.9499999999999993" customHeight="1" x14ac:dyDescent="0.25"/>
    <row r="206" ht="9.9499999999999993" customHeight="1" x14ac:dyDescent="0.25"/>
    <row r="207" ht="9.9499999999999993" customHeight="1" x14ac:dyDescent="0.25"/>
    <row r="208" ht="9.9499999999999993" customHeight="1" x14ac:dyDescent="0.25"/>
    <row r="209" ht="9.9499999999999993" customHeight="1" x14ac:dyDescent="0.25"/>
    <row r="210" ht="9.9499999999999993" customHeight="1" x14ac:dyDescent="0.25"/>
    <row r="211" ht="9.9499999999999993" customHeight="1" x14ac:dyDescent="0.25"/>
    <row r="212" ht="9.9499999999999993" customHeight="1" x14ac:dyDescent="0.25"/>
    <row r="213" ht="9.9499999999999993" customHeight="1" x14ac:dyDescent="0.25"/>
    <row r="214" ht="9.9499999999999993" customHeight="1" x14ac:dyDescent="0.25"/>
    <row r="215" ht="9.9499999999999993" customHeight="1" x14ac:dyDescent="0.25"/>
    <row r="216" ht="9.9499999999999993" customHeight="1" x14ac:dyDescent="0.25"/>
    <row r="217" ht="9.9499999999999993" customHeight="1" x14ac:dyDescent="0.25"/>
    <row r="218" ht="9.9499999999999993" customHeight="1" x14ac:dyDescent="0.25"/>
    <row r="219" ht="9.9499999999999993" customHeight="1" x14ac:dyDescent="0.25"/>
    <row r="220" ht="9.9499999999999993" customHeight="1" x14ac:dyDescent="0.25"/>
    <row r="221" ht="9.9499999999999993" customHeight="1" x14ac:dyDescent="0.25"/>
    <row r="222" ht="9.9499999999999993" customHeight="1" x14ac:dyDescent="0.25"/>
    <row r="223" ht="9.9499999999999993" customHeight="1" x14ac:dyDescent="0.25"/>
    <row r="224" ht="9.9499999999999993" customHeight="1" x14ac:dyDescent="0.25"/>
    <row r="225" ht="9.9499999999999993" customHeight="1" x14ac:dyDescent="0.25"/>
    <row r="226" ht="9.9499999999999993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</sheetData>
  <mergeCells count="153">
    <mergeCell ref="O50:R50"/>
    <mergeCell ref="Q51:T51"/>
    <mergeCell ref="P54:T54"/>
    <mergeCell ref="P55:T55"/>
    <mergeCell ref="N56:U56"/>
    <mergeCell ref="P57:T57"/>
    <mergeCell ref="J47:J48"/>
    <mergeCell ref="K47:L48"/>
    <mergeCell ref="M47:M48"/>
    <mergeCell ref="N47:O48"/>
    <mergeCell ref="P47:R48"/>
    <mergeCell ref="S47:U48"/>
    <mergeCell ref="B47:D48"/>
    <mergeCell ref="E47:E48"/>
    <mergeCell ref="F47:F48"/>
    <mergeCell ref="G47:G48"/>
    <mergeCell ref="H47:H48"/>
    <mergeCell ref="I47:I48"/>
    <mergeCell ref="K44:L44"/>
    <mergeCell ref="N44:O44"/>
    <mergeCell ref="P44:R44"/>
    <mergeCell ref="S44:U44"/>
    <mergeCell ref="S45:U45"/>
    <mergeCell ref="S46:U46"/>
    <mergeCell ref="K42:L42"/>
    <mergeCell ref="N42:O42"/>
    <mergeCell ref="P42:R42"/>
    <mergeCell ref="S42:U42"/>
    <mergeCell ref="K43:L43"/>
    <mergeCell ref="N43:O43"/>
    <mergeCell ref="P43:R43"/>
    <mergeCell ref="S43:U43"/>
    <mergeCell ref="K40:L40"/>
    <mergeCell ref="N40:O40"/>
    <mergeCell ref="P40:R40"/>
    <mergeCell ref="S40:U40"/>
    <mergeCell ref="K41:L41"/>
    <mergeCell ref="N41:O41"/>
    <mergeCell ref="P41:R41"/>
    <mergeCell ref="S41:U41"/>
    <mergeCell ref="K38:L38"/>
    <mergeCell ref="N38:O38"/>
    <mergeCell ref="P38:R38"/>
    <mergeCell ref="S38:U38"/>
    <mergeCell ref="K39:L39"/>
    <mergeCell ref="N39:O39"/>
    <mergeCell ref="P39:R39"/>
    <mergeCell ref="S39:U39"/>
    <mergeCell ref="K36:L36"/>
    <mergeCell ref="N36:O36"/>
    <mergeCell ref="P36:R36"/>
    <mergeCell ref="S36:U36"/>
    <mergeCell ref="K37:L37"/>
    <mergeCell ref="N37:O37"/>
    <mergeCell ref="P37:R37"/>
    <mergeCell ref="S37:U37"/>
    <mergeCell ref="K34:L34"/>
    <mergeCell ref="N34:O34"/>
    <mergeCell ref="P34:R34"/>
    <mergeCell ref="S34:U34"/>
    <mergeCell ref="K35:L35"/>
    <mergeCell ref="N35:O35"/>
    <mergeCell ref="P35:R35"/>
    <mergeCell ref="S35:U35"/>
    <mergeCell ref="K32:L32"/>
    <mergeCell ref="N32:O32"/>
    <mergeCell ref="P32:R32"/>
    <mergeCell ref="S32:U32"/>
    <mergeCell ref="K33:L33"/>
    <mergeCell ref="N33:O33"/>
    <mergeCell ref="P33:R33"/>
    <mergeCell ref="S33:U33"/>
    <mergeCell ref="K30:L30"/>
    <mergeCell ref="N30:O30"/>
    <mergeCell ref="P30:R30"/>
    <mergeCell ref="S30:U30"/>
    <mergeCell ref="K31:L31"/>
    <mergeCell ref="N31:O31"/>
    <mergeCell ref="P31:R31"/>
    <mergeCell ref="S31:U31"/>
    <mergeCell ref="B28:D28"/>
    <mergeCell ref="K28:L28"/>
    <mergeCell ref="N28:O28"/>
    <mergeCell ref="P28:R28"/>
    <mergeCell ref="S28:U28"/>
    <mergeCell ref="K29:L29"/>
    <mergeCell ref="N29:O29"/>
    <mergeCell ref="P29:R29"/>
    <mergeCell ref="S29:U29"/>
    <mergeCell ref="B26:D26"/>
    <mergeCell ref="K26:L26"/>
    <mergeCell ref="N26:O26"/>
    <mergeCell ref="P26:R26"/>
    <mergeCell ref="S26:U26"/>
    <mergeCell ref="K27:L27"/>
    <mergeCell ref="N27:O27"/>
    <mergeCell ref="P27:R27"/>
    <mergeCell ref="S27:U27"/>
    <mergeCell ref="K24:L24"/>
    <mergeCell ref="N24:O24"/>
    <mergeCell ref="P24:R24"/>
    <mergeCell ref="S24:U24"/>
    <mergeCell ref="B25:D25"/>
    <mergeCell ref="K25:L25"/>
    <mergeCell ref="N25:O25"/>
    <mergeCell ref="P25:R25"/>
    <mergeCell ref="S25:U25"/>
    <mergeCell ref="K22:L22"/>
    <mergeCell ref="N22:O22"/>
    <mergeCell ref="P22:R22"/>
    <mergeCell ref="S22:U22"/>
    <mergeCell ref="K23:L23"/>
    <mergeCell ref="N23:O23"/>
    <mergeCell ref="P23:R23"/>
    <mergeCell ref="S23:U23"/>
    <mergeCell ref="J19:L19"/>
    <mergeCell ref="M19:O19"/>
    <mergeCell ref="P19:R19"/>
    <mergeCell ref="S19:U19"/>
    <mergeCell ref="K21:L21"/>
    <mergeCell ref="N21:O21"/>
    <mergeCell ref="P21:R21"/>
    <mergeCell ref="S21:U21"/>
    <mergeCell ref="A17:U17"/>
    <mergeCell ref="A18:A19"/>
    <mergeCell ref="B18:D19"/>
    <mergeCell ref="E18:F18"/>
    <mergeCell ref="G18:H19"/>
    <mergeCell ref="J18:L18"/>
    <mergeCell ref="M18:O18"/>
    <mergeCell ref="P18:R18"/>
    <mergeCell ref="S18:U18"/>
    <mergeCell ref="E19:F19"/>
    <mergeCell ref="D11:G11"/>
    <mergeCell ref="M11:T11"/>
    <mergeCell ref="E13:J13"/>
    <mergeCell ref="F14:H14"/>
    <mergeCell ref="M14:S15"/>
    <mergeCell ref="F15:H15"/>
    <mergeCell ref="D7:G7"/>
    <mergeCell ref="M7:T7"/>
    <mergeCell ref="A8:B8"/>
    <mergeCell ref="D8:G8"/>
    <mergeCell ref="M8:T8"/>
    <mergeCell ref="A9:B9"/>
    <mergeCell ref="M9:U9"/>
    <mergeCell ref="A1:U1"/>
    <mergeCell ref="A2:U2"/>
    <mergeCell ref="A3:U3"/>
    <mergeCell ref="A4:B4"/>
    <mergeCell ref="F4:G4"/>
    <mergeCell ref="A5:H5"/>
    <mergeCell ref="J5:T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dasilvaleonia1095@gmail.com</dc:creator>
  <cp:lastModifiedBy>dasilvaleonia1095@gmail.com</cp:lastModifiedBy>
  <dcterms:created xsi:type="dcterms:W3CDTF">2026-01-26T17:03:19Z</dcterms:created>
  <dcterms:modified xsi:type="dcterms:W3CDTF">2026-01-26T17:10:36Z</dcterms:modified>
</cp:coreProperties>
</file>